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orresponsalia-assistravel\doc\"/>
    </mc:Choice>
  </mc:AlternateContent>
  <xr:revisionPtr revIDLastSave="0" documentId="13_ncr:1_{2591ADB9-873C-4B69-8D8F-7566013C0D85}" xr6:coauthVersionLast="47" xr6:coauthVersionMax="47" xr10:uidLastSave="{00000000-0000-0000-0000-000000000000}"/>
  <bookViews>
    <workbookView xWindow="-108" yWindow="-108" windowWidth="23256" windowHeight="12456" tabRatio="591" xr2:uid="{91C78987-09C6-498B-8BBD-D203CFBD23CB}"/>
  </bookViews>
  <sheets>
    <sheet name="Hoja1" sheetId="1" r:id="rId1"/>
    <sheet name="Fees" sheetId="2" r:id="rId2"/>
  </sheets>
  <definedNames>
    <definedName name="_xlnm._FilterDatabase" localSheetId="0" hidden="1">Hoja1!$B$1:$T$571</definedName>
    <definedName name="casos">Hoja1!$A$2:$T$571</definedName>
    <definedName name="correnpondent_id" localSheetId="0">Hoja1!$B$225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1" i="1" l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Lourenço</author>
  </authors>
  <commentList>
    <comment ref="C3" authorId="0" shapeId="0" xr:uid="{19D2AC82-558A-411E-840B-C48C19DEBAC9}">
      <text>
        <r>
          <rPr>
            <sz val="11"/>
            <color theme="1"/>
            <rFont val="Calibri"/>
            <family val="2"/>
            <scheme val="minor"/>
          </rPr>
          <t>Dominic Lourenço:
CI-000040</t>
        </r>
      </text>
    </comment>
    <comment ref="C4" authorId="0" shapeId="0" xr:uid="{1A1D2C8B-53B2-41EB-8CF2-1E1AC09973F4}">
      <text>
        <r>
          <rPr>
            <sz val="11"/>
            <color theme="1"/>
            <rFont val="Calibri"/>
            <family val="2"/>
            <scheme val="minor"/>
          </rPr>
          <t>Dominic Lourenço:
CI-000031</t>
        </r>
      </text>
    </comment>
    <comment ref="C6" authorId="0" shapeId="0" xr:uid="{5FFC5D9C-222C-45C3-BA59-634234081DC8}">
      <text>
        <r>
          <rPr>
            <sz val="11"/>
            <color theme="1"/>
            <rFont val="Calibri"/>
            <family val="2"/>
            <scheme val="minor"/>
          </rPr>
          <t>Dominic Lourenço:
RESTAURADO DE CIN-249905</t>
        </r>
      </text>
    </comment>
  </commentList>
</comments>
</file>

<file path=xl/sharedStrings.xml><?xml version="1.0" encoding="utf-8"?>
<sst xmlns="http://schemas.openxmlformats.org/spreadsheetml/2006/main" count="4630" uniqueCount="1086">
  <si>
    <t>CORRES</t>
  </si>
  <si>
    <t>EMERGENCY</t>
  </si>
  <si>
    <t>CIN-249693</t>
  </si>
  <si>
    <t>CIN-249812</t>
  </si>
  <si>
    <t>1290 // FC 1258 // NC 415</t>
  </si>
  <si>
    <t>CIN-249894</t>
  </si>
  <si>
    <t>CIN-249900</t>
  </si>
  <si>
    <t>LAAS</t>
  </si>
  <si>
    <t>CI-000023</t>
  </si>
  <si>
    <t>CI-000008</t>
  </si>
  <si>
    <t>CA-000003</t>
  </si>
  <si>
    <t>STAR5552</t>
  </si>
  <si>
    <t>CI-000017</t>
  </si>
  <si>
    <t>CA-000004</t>
  </si>
  <si>
    <t>SAVITAR</t>
  </si>
  <si>
    <t>CI-000011</t>
  </si>
  <si>
    <t>SGM-24-290121</t>
  </si>
  <si>
    <t>CA-000005</t>
  </si>
  <si>
    <t>STAR5591</t>
  </si>
  <si>
    <t>CI-000014</t>
  </si>
  <si>
    <t>GVA</t>
  </si>
  <si>
    <t>CA-000006</t>
  </si>
  <si>
    <t>M-571427</t>
  </si>
  <si>
    <t>1251 se cancela</t>
  </si>
  <si>
    <t>CI-000015</t>
  </si>
  <si>
    <t>STAR5602</t>
  </si>
  <si>
    <t>CA-000007</t>
  </si>
  <si>
    <t>CI-000021</t>
  </si>
  <si>
    <t>SGM-24-291070</t>
  </si>
  <si>
    <t>CI-000022</t>
  </si>
  <si>
    <t>CI-000024</t>
  </si>
  <si>
    <t>CI-000025</t>
  </si>
  <si>
    <t>CI-000026</t>
  </si>
  <si>
    <t>M-572370</t>
  </si>
  <si>
    <t>HUMANCARE</t>
  </si>
  <si>
    <t>CI-000027</t>
  </si>
  <si>
    <t>CI-000028</t>
  </si>
  <si>
    <t>Rashed Ahmed </t>
  </si>
  <si>
    <t>CI-000030</t>
  </si>
  <si>
    <t>MEDISPHERE</t>
  </si>
  <si>
    <t>CI-000029</t>
  </si>
  <si>
    <t>CA-000008</t>
  </si>
  <si>
    <t>CI-000032</t>
  </si>
  <si>
    <t>M-573125</t>
  </si>
  <si>
    <t>CI-000033</t>
  </si>
  <si>
    <t>SGM-25-292914</t>
  </si>
  <si>
    <t>1276 C 1397</t>
  </si>
  <si>
    <t>CI-000034</t>
  </si>
  <si>
    <t>CA-000009</t>
  </si>
  <si>
    <t>CI-000036</t>
  </si>
  <si>
    <t>CI-000038</t>
  </si>
  <si>
    <t>CA-000010</t>
  </si>
  <si>
    <t>SGM-25-293648</t>
  </si>
  <si>
    <t>CI-000082</t>
  </si>
  <si>
    <t>SEF-500327611</t>
  </si>
  <si>
    <t>CA-000011</t>
  </si>
  <si>
    <t>M-574096</t>
  </si>
  <si>
    <t>CA-000013</t>
  </si>
  <si>
    <t>SGM-25-294139</t>
  </si>
  <si>
    <t>CI-000039</t>
  </si>
  <si>
    <t>CA-000014</t>
  </si>
  <si>
    <t>M-574440</t>
  </si>
  <si>
    <t>CI-000041</t>
  </si>
  <si>
    <t>EURASIA</t>
  </si>
  <si>
    <t>CI-000042</t>
  </si>
  <si>
    <t>CI-000043</t>
  </si>
  <si>
    <t xml:space="preserve"> M-574826</t>
  </si>
  <si>
    <t>REPRESENTANTE</t>
  </si>
  <si>
    <t>CI-000044</t>
  </si>
  <si>
    <t>SGM-25-295238</t>
  </si>
  <si>
    <t>CI-000046</t>
  </si>
  <si>
    <t>CI-000045</t>
  </si>
  <si>
    <t>CA-000016</t>
  </si>
  <si>
    <t>M-575273</t>
  </si>
  <si>
    <t>CI-000049</t>
  </si>
  <si>
    <t>CI-000047</t>
  </si>
  <si>
    <t>CI-000048</t>
  </si>
  <si>
    <t>CI-000050</t>
  </si>
  <si>
    <t>Margareth Cardoso Da Silva</t>
  </si>
  <si>
    <t>326,64</t>
  </si>
  <si>
    <t>CI-000051</t>
  </si>
  <si>
    <t>CI-000052</t>
  </si>
  <si>
    <t>CI-000053</t>
  </si>
  <si>
    <t>CI-000054</t>
  </si>
  <si>
    <t>CA-000017</t>
  </si>
  <si>
    <t>SGM-25-296448</t>
  </si>
  <si>
    <t>CI-000055</t>
  </si>
  <si>
    <t>CI-000057</t>
  </si>
  <si>
    <t>SGM-25-296616</t>
  </si>
  <si>
    <t>CA-000019</t>
  </si>
  <si>
    <t>M-576538</t>
  </si>
  <si>
    <t>CI-000058</t>
  </si>
  <si>
    <t>COMFORT HEALTH</t>
  </si>
  <si>
    <t>CI-000061</t>
  </si>
  <si>
    <t>Jitendra Barola</t>
  </si>
  <si>
    <t>CI-000062</t>
  </si>
  <si>
    <t>CI-000060</t>
  </si>
  <si>
    <t>CI-000059</t>
  </si>
  <si>
    <t>CI-000063</t>
  </si>
  <si>
    <t>Wayi Siraj</t>
  </si>
  <si>
    <t>CI-000064</t>
  </si>
  <si>
    <t>SGM-25-297364</t>
  </si>
  <si>
    <t>CI-000066</t>
  </si>
  <si>
    <t>CA-000020</t>
  </si>
  <si>
    <t>CI-000065</t>
  </si>
  <si>
    <t>CI-000068</t>
  </si>
  <si>
    <t>CI-000067</t>
  </si>
  <si>
    <t>CI-000070</t>
  </si>
  <si>
    <t>CI-000071</t>
  </si>
  <si>
    <t>M-577373</t>
  </si>
  <si>
    <t>CI-000069</t>
  </si>
  <si>
    <t>CI-000072</t>
  </si>
  <si>
    <t xml:space="preserve">MHS2563 </t>
  </si>
  <si>
    <t>CI-000073</t>
  </si>
  <si>
    <t>CI-000074</t>
  </si>
  <si>
    <t>IMA</t>
  </si>
  <si>
    <t>CI-000076</t>
  </si>
  <si>
    <t>CI-000075</t>
  </si>
  <si>
    <t>SGM-25-297974</t>
  </si>
  <si>
    <t>CI-000077</t>
  </si>
  <si>
    <t>CI-000078</t>
  </si>
  <si>
    <t>CI-000079</t>
  </si>
  <si>
    <t>CI-000080</t>
  </si>
  <si>
    <t>CI-000081</t>
  </si>
  <si>
    <t>SGM-25-298292</t>
  </si>
  <si>
    <t>CI-000085</t>
  </si>
  <si>
    <t>SGM-25-298609</t>
  </si>
  <si>
    <t>CI-000084</t>
  </si>
  <si>
    <t>SGM-25-298610</t>
  </si>
  <si>
    <t>CI-000083</t>
  </si>
  <si>
    <t>SGM-25-298611</t>
  </si>
  <si>
    <t>CI-000086</t>
  </si>
  <si>
    <t>CI-000087</t>
  </si>
  <si>
    <t>CI-000088</t>
  </si>
  <si>
    <t>CI-000089</t>
  </si>
  <si>
    <t>CI-000090</t>
  </si>
  <si>
    <t>CI-000092</t>
  </si>
  <si>
    <t>CI-000091</t>
  </si>
  <si>
    <t>JUAN DIEGO VALVERDE SANCHEZ</t>
  </si>
  <si>
    <t>CA-000022</t>
  </si>
  <si>
    <t>CI-000093</t>
  </si>
  <si>
    <t>CI-000094</t>
  </si>
  <si>
    <t>SGM-25-299727</t>
  </si>
  <si>
    <t>CI-000095</t>
  </si>
  <si>
    <t>CI-000096</t>
  </si>
  <si>
    <t>CHA23324</t>
  </si>
  <si>
    <t>CI-000099</t>
  </si>
  <si>
    <t>CI-000097</t>
  </si>
  <si>
    <t>Liudmyla Chumak</t>
  </si>
  <si>
    <t>CI-000098</t>
  </si>
  <si>
    <t>MHS2646</t>
  </si>
  <si>
    <t>CA-000023</t>
  </si>
  <si>
    <t>CI-000100</t>
  </si>
  <si>
    <t>CI-000101</t>
  </si>
  <si>
    <t>CI-000102</t>
  </si>
  <si>
    <t>CI-000103</t>
  </si>
  <si>
    <t>CI-000105</t>
  </si>
  <si>
    <t>CI-000104</t>
  </si>
  <si>
    <t>CI-000106</t>
  </si>
  <si>
    <t>EDUARDO SANTOS BERCHIO</t>
  </si>
  <si>
    <t>CI-000107</t>
  </si>
  <si>
    <t>CI-000108</t>
  </si>
  <si>
    <t>CI-000110</t>
  </si>
  <si>
    <t>CI-000109</t>
  </si>
  <si>
    <t>CI-000111</t>
  </si>
  <si>
    <t>CI-000112</t>
  </si>
  <si>
    <t>CI-000117</t>
  </si>
  <si>
    <t>CI-000116</t>
  </si>
  <si>
    <t>CHA23639</t>
  </si>
  <si>
    <t>CI-000115</t>
  </si>
  <si>
    <t>CI-000114</t>
  </si>
  <si>
    <t>CI-000118</t>
  </si>
  <si>
    <t>CA-000024</t>
  </si>
  <si>
    <t>98,17</t>
  </si>
  <si>
    <t>CI-000119</t>
  </si>
  <si>
    <t>CI-000120</t>
  </si>
  <si>
    <t>CHA23750</t>
  </si>
  <si>
    <t>CI-000121</t>
  </si>
  <si>
    <t>SGM-25-304024</t>
  </si>
  <si>
    <t>1340 </t>
  </si>
  <si>
    <t>CI-000122</t>
  </si>
  <si>
    <t>CA-000025</t>
  </si>
  <si>
    <t>SGM-25-304315</t>
  </si>
  <si>
    <t>747,42</t>
  </si>
  <si>
    <t>CI-000123</t>
  </si>
  <si>
    <t>CI-000124</t>
  </si>
  <si>
    <t>CI-000126</t>
  </si>
  <si>
    <t>CI-000125</t>
  </si>
  <si>
    <t>CI-000127</t>
  </si>
  <si>
    <t>CI-000128</t>
  </si>
  <si>
    <t>CI-000130</t>
  </si>
  <si>
    <t>CI-000132</t>
  </si>
  <si>
    <t>CHA24008</t>
  </si>
  <si>
    <t>CI-000131</t>
  </si>
  <si>
    <t>SGM-25-306001</t>
  </si>
  <si>
    <t>CI-000133</t>
  </si>
  <si>
    <t>CI-000134</t>
  </si>
  <si>
    <t xml:space="preserve">CHA24008 </t>
  </si>
  <si>
    <t>CI-000135</t>
  </si>
  <si>
    <t>M-585214</t>
  </si>
  <si>
    <t>CI-000136</t>
  </si>
  <si>
    <t>CI-000137</t>
  </si>
  <si>
    <t>CI-000138</t>
  </si>
  <si>
    <t>CI-000140</t>
  </si>
  <si>
    <t>CA-000027</t>
  </si>
  <si>
    <t xml:space="preserve"> F5H102508 / F5H102508AA</t>
  </si>
  <si>
    <t>CI-000143</t>
  </si>
  <si>
    <t>CI-000144</t>
  </si>
  <si>
    <t>CI-000145</t>
  </si>
  <si>
    <t>CI-000146</t>
  </si>
  <si>
    <t>CI-000148</t>
  </si>
  <si>
    <t>SGM-25-307676</t>
  </si>
  <si>
    <t>CI-000147</t>
  </si>
  <si>
    <t>CI-000150</t>
  </si>
  <si>
    <t>CI-000149</t>
  </si>
  <si>
    <t>E51185369</t>
  </si>
  <si>
    <t>CA-000028</t>
  </si>
  <si>
    <t>I5J401481</t>
  </si>
  <si>
    <t>CI-000151</t>
  </si>
  <si>
    <t>CA-000029</t>
  </si>
  <si>
    <t>SGM-25-308081</t>
  </si>
  <si>
    <t>CI-000152</t>
  </si>
  <si>
    <t xml:space="preserve">CHA24323 </t>
  </si>
  <si>
    <t>CI-000153</t>
  </si>
  <si>
    <t>CI-000155</t>
  </si>
  <si>
    <t>SGM-25-308392</t>
  </si>
  <si>
    <t>CI-000154</t>
  </si>
  <si>
    <t>CA-000030</t>
  </si>
  <si>
    <t>I5J201411</t>
  </si>
  <si>
    <t>CI-000156</t>
  </si>
  <si>
    <t>E51188133</t>
  </si>
  <si>
    <t>CI-000158</t>
  </si>
  <si>
    <t>CI-000157</t>
  </si>
  <si>
    <t>CI-000162</t>
  </si>
  <si>
    <t>CI-000159</t>
  </si>
  <si>
    <t>I5W201437AA</t>
  </si>
  <si>
    <t>CI-000160</t>
  </si>
  <si>
    <t>MHS2950</t>
  </si>
  <si>
    <t>CI-000161</t>
  </si>
  <si>
    <t>SGM-25-308857</t>
  </si>
  <si>
    <t>CI-000163</t>
  </si>
  <si>
    <t>666,21</t>
  </si>
  <si>
    <t>CI-000165</t>
  </si>
  <si>
    <t>MHS2953</t>
  </si>
  <si>
    <t>CI-000164</t>
  </si>
  <si>
    <t>CI-000168</t>
  </si>
  <si>
    <t xml:space="preserve">E51190105AB  </t>
  </si>
  <si>
    <t>CA-000031</t>
  </si>
  <si>
    <t>F5E402841</t>
  </si>
  <si>
    <t>10/02/82026</t>
  </si>
  <si>
    <t>CI-000167</t>
  </si>
  <si>
    <t>SGM-25-309123</t>
  </si>
  <si>
    <t>CI-000166</t>
  </si>
  <si>
    <t>CI-000169</t>
  </si>
  <si>
    <t>CA-000032</t>
  </si>
  <si>
    <t>E51191089</t>
  </si>
  <si>
    <t>CI-000170</t>
  </si>
  <si>
    <t>CI-000171</t>
  </si>
  <si>
    <t>CI-000172</t>
  </si>
  <si>
    <t>CA-000033</t>
  </si>
  <si>
    <t>E51191708AD</t>
  </si>
  <si>
    <t>CI-000173</t>
  </si>
  <si>
    <t>CI-000174</t>
  </si>
  <si>
    <t>E51193401</t>
  </si>
  <si>
    <t>1347 </t>
  </si>
  <si>
    <t>CA-000034</t>
  </si>
  <si>
    <t>E51193418</t>
  </si>
  <si>
    <t>CI-000175</t>
  </si>
  <si>
    <t>E51193971</t>
  </si>
  <si>
    <t>CI-000176</t>
  </si>
  <si>
    <t>CI-000177</t>
  </si>
  <si>
    <t>E51194947</t>
  </si>
  <si>
    <t>CI-000178</t>
  </si>
  <si>
    <t>E51195126</t>
  </si>
  <si>
    <t>CI-000179</t>
  </si>
  <si>
    <t>CI-000180</t>
  </si>
  <si>
    <t>I5J101665</t>
  </si>
  <si>
    <t>CI-000181</t>
  </si>
  <si>
    <t>I5J301706-5</t>
  </si>
  <si>
    <t>CI-000182</t>
  </si>
  <si>
    <t>CI-000183</t>
  </si>
  <si>
    <t>I5J201627</t>
  </si>
  <si>
    <t>CI-000184</t>
  </si>
  <si>
    <t>1.095,00</t>
  </si>
  <si>
    <t>CI-000185</t>
  </si>
  <si>
    <t>CI-000186</t>
  </si>
  <si>
    <t>CI-000187</t>
  </si>
  <si>
    <t>CI-000189</t>
  </si>
  <si>
    <t>E51199698</t>
  </si>
  <si>
    <t>CI-000190</t>
  </si>
  <si>
    <t>E51199810</t>
  </si>
  <si>
    <t>CI-000188</t>
  </si>
  <si>
    <t>I5J501902</t>
  </si>
  <si>
    <t>CI-000191</t>
  </si>
  <si>
    <t>MHS3029</t>
  </si>
  <si>
    <t>CI-000192</t>
  </si>
  <si>
    <t>SGM-25-311481</t>
  </si>
  <si>
    <t>CI-000193</t>
  </si>
  <si>
    <t>CI-000195</t>
  </si>
  <si>
    <t>MHS3050</t>
  </si>
  <si>
    <t>CI-000194</t>
  </si>
  <si>
    <t>CI-000197</t>
  </si>
  <si>
    <t>I5J301903</t>
  </si>
  <si>
    <t>CI-000196</t>
  </si>
  <si>
    <t>CI-000200</t>
  </si>
  <si>
    <t>E51202578</t>
  </si>
  <si>
    <t>CI-000199</t>
  </si>
  <si>
    <t>I5J301926</t>
  </si>
  <si>
    <t>CI-000198</t>
  </si>
  <si>
    <t>CI-000201</t>
  </si>
  <si>
    <t>CI-000202</t>
  </si>
  <si>
    <t>CA-000035</t>
  </si>
  <si>
    <t>I5J502061</t>
  </si>
  <si>
    <t>CI-000203</t>
  </si>
  <si>
    <t>SGM-25-312275</t>
  </si>
  <si>
    <t>CI-000204</t>
  </si>
  <si>
    <t>CI-000205</t>
  </si>
  <si>
    <t>CI-000207</t>
  </si>
  <si>
    <t xml:space="preserve"> M-591045</t>
  </si>
  <si>
    <t>CI-000206</t>
  </si>
  <si>
    <t>E51207735</t>
  </si>
  <si>
    <t>CI-000208</t>
  </si>
  <si>
    <t>SGM-25-313302</t>
  </si>
  <si>
    <t>CI-000210</t>
  </si>
  <si>
    <t>E51208803</t>
  </si>
  <si>
    <t>CI-000212</t>
  </si>
  <si>
    <t>E51209067</t>
  </si>
  <si>
    <t>CA-000036</t>
  </si>
  <si>
    <t>SGM-25-313662</t>
  </si>
  <si>
    <t>10/01/20226</t>
  </si>
  <si>
    <t>CA-000038</t>
  </si>
  <si>
    <t>E51208843AA</t>
  </si>
  <si>
    <t>CI-000214</t>
  </si>
  <si>
    <t>E51211161</t>
  </si>
  <si>
    <t>CI-000215</t>
  </si>
  <si>
    <t>E51211409</t>
  </si>
  <si>
    <t>CI-000216</t>
  </si>
  <si>
    <t>E51210984</t>
  </si>
  <si>
    <t>CI-000217</t>
  </si>
  <si>
    <t>F66679250</t>
  </si>
  <si>
    <t>CA-000039</t>
  </si>
  <si>
    <t>E51211563</t>
  </si>
  <si>
    <t>CI-000218</t>
  </si>
  <si>
    <t>E51212698</t>
  </si>
  <si>
    <t>CI-000219</t>
  </si>
  <si>
    <t>E51213115</t>
  </si>
  <si>
    <t>CI-000220</t>
  </si>
  <si>
    <t>E51213525</t>
  </si>
  <si>
    <t>CA-000040</t>
  </si>
  <si>
    <t>M-592239</t>
  </si>
  <si>
    <t>CI-000221</t>
  </si>
  <si>
    <t>E51213571</t>
  </si>
  <si>
    <t>CI-000222</t>
  </si>
  <si>
    <t>CI-000223</t>
  </si>
  <si>
    <t>E51215660</t>
  </si>
  <si>
    <t>CI-000224</t>
  </si>
  <si>
    <t>1111111</t>
  </si>
  <si>
    <t>CI-000225</t>
  </si>
  <si>
    <t>PAS685152</t>
  </si>
  <si>
    <t>CA-000041</t>
  </si>
  <si>
    <t>94161792</t>
  </si>
  <si>
    <t>CI-000226</t>
  </si>
  <si>
    <t>CI-000228</t>
  </si>
  <si>
    <t>E51216821</t>
  </si>
  <si>
    <t>CI-000227</t>
  </si>
  <si>
    <t>6689788-0</t>
  </si>
  <si>
    <t>CI-000229</t>
  </si>
  <si>
    <t>671529535</t>
  </si>
  <si>
    <t>CI-000230</t>
  </si>
  <si>
    <t>E51216997</t>
  </si>
  <si>
    <t>CA-000042</t>
  </si>
  <si>
    <t>PAH949648</t>
  </si>
  <si>
    <t>CA-000043</t>
  </si>
  <si>
    <t>SGM-25-315764</t>
  </si>
  <si>
    <t xml:space="preserve">1387 - 1369 cencelada </t>
  </si>
  <si>
    <t>CI-000232</t>
  </si>
  <si>
    <t>CI-000231</t>
  </si>
  <si>
    <t>CI-000233</t>
  </si>
  <si>
    <t>CI-000234</t>
  </si>
  <si>
    <t>CI-000235</t>
  </si>
  <si>
    <t>CI-000236</t>
  </si>
  <si>
    <t>E51218702</t>
  </si>
  <si>
    <t>CI-000237</t>
  </si>
  <si>
    <t>E51218796</t>
  </si>
  <si>
    <t>CI-000238</t>
  </si>
  <si>
    <t>E51218964AB</t>
  </si>
  <si>
    <t>CI-000240</t>
  </si>
  <si>
    <t>CI-000239</t>
  </si>
  <si>
    <t>E51215600</t>
  </si>
  <si>
    <t>CA-000044</t>
  </si>
  <si>
    <t>I5J302570</t>
  </si>
  <si>
    <t>CI-000241</t>
  </si>
  <si>
    <t>CI-000242</t>
  </si>
  <si>
    <t>CA-000045</t>
  </si>
  <si>
    <t>SGM-25-316996</t>
  </si>
  <si>
    <t>CA-000046</t>
  </si>
  <si>
    <t>SGM-25-317000</t>
  </si>
  <si>
    <t>CA-000048</t>
  </si>
  <si>
    <t>SGM-25-317283</t>
  </si>
  <si>
    <t>CI-000243</t>
  </si>
  <si>
    <t>CI-000244</t>
  </si>
  <si>
    <t>E51224435</t>
  </si>
  <si>
    <t>CI-000245</t>
  </si>
  <si>
    <t>CI-000246</t>
  </si>
  <si>
    <t>CA-000049</t>
  </si>
  <si>
    <t>E51225635</t>
  </si>
  <si>
    <t>CI-000142</t>
  </si>
  <si>
    <t>CI-000247</t>
  </si>
  <si>
    <t>CA-000050</t>
  </si>
  <si>
    <t>SGM-25-317695 </t>
  </si>
  <si>
    <t>CI-000248</t>
  </si>
  <si>
    <t>E51226699</t>
  </si>
  <si>
    <t>CA-000051</t>
  </si>
  <si>
    <t>I5J102621</t>
  </si>
  <si>
    <t>CI-000249</t>
  </si>
  <si>
    <t>CI-000250</t>
  </si>
  <si>
    <t>E51228046</t>
  </si>
  <si>
    <t>CI-000251</t>
  </si>
  <si>
    <t>CI-000252</t>
  </si>
  <si>
    <t>E51228386</t>
  </si>
  <si>
    <t>CA-000052</t>
  </si>
  <si>
    <t>SGM-25-31817</t>
  </si>
  <si>
    <t>CI-000253</t>
  </si>
  <si>
    <t>E51229134</t>
  </si>
  <si>
    <t>CI-000254</t>
  </si>
  <si>
    <t>E51229535</t>
  </si>
  <si>
    <t>CI-000255</t>
  </si>
  <si>
    <t>CA-000053</t>
  </si>
  <si>
    <t>E51231117AA</t>
  </si>
  <si>
    <t>CI-000256</t>
  </si>
  <si>
    <t>CI-000257</t>
  </si>
  <si>
    <t>E51231699</t>
  </si>
  <si>
    <t>CA-000054</t>
  </si>
  <si>
    <t>SGM-25-319049</t>
  </si>
  <si>
    <t>CI-000258</t>
  </si>
  <si>
    <t>CI-000259</t>
  </si>
  <si>
    <t>CI-000260</t>
  </si>
  <si>
    <t>ES1233771</t>
  </si>
  <si>
    <t>CI-000262</t>
  </si>
  <si>
    <t>CI-000263</t>
  </si>
  <si>
    <t>CI-000264</t>
  </si>
  <si>
    <t>CI-000261</t>
  </si>
  <si>
    <t>E51234170AA</t>
  </si>
  <si>
    <t>10/12/2025|</t>
  </si>
  <si>
    <t>CI-000266</t>
  </si>
  <si>
    <t>CI-000267</t>
  </si>
  <si>
    <t>CI-000268</t>
  </si>
  <si>
    <t>CI-000269</t>
  </si>
  <si>
    <t>E51229535AA </t>
  </si>
  <si>
    <t>CA-000055</t>
  </si>
  <si>
    <t>SGM-25-319975</t>
  </si>
  <si>
    <t>CI-000270</t>
  </si>
  <si>
    <t>CI-000272</t>
  </si>
  <si>
    <t>CI-000271</t>
  </si>
  <si>
    <t>CI-000273</t>
  </si>
  <si>
    <t>CI-000274</t>
  </si>
  <si>
    <t>E51240308</t>
  </si>
  <si>
    <t>CI-000275</t>
  </si>
  <si>
    <t>I5J102863</t>
  </si>
  <si>
    <t>CI-000276</t>
  </si>
  <si>
    <t>CA-000056</t>
  </si>
  <si>
    <t>CA-000057</t>
  </si>
  <si>
    <t>E51242613a</t>
  </si>
  <si>
    <t>09/001/2026</t>
  </si>
  <si>
    <t>CI-000277</t>
  </si>
  <si>
    <t>E51243517 </t>
  </si>
  <si>
    <t>CI-000278</t>
  </si>
  <si>
    <t>E51243522</t>
  </si>
  <si>
    <t>CA-000058</t>
  </si>
  <si>
    <t>E51246350AA</t>
  </si>
  <si>
    <t>CI-000279</t>
  </si>
  <si>
    <t>CI-000281</t>
  </si>
  <si>
    <t>ESW0278361A</t>
  </si>
  <si>
    <t>CI-000280</t>
  </si>
  <si>
    <t>F5H405011 </t>
  </si>
  <si>
    <t>CA-000059</t>
  </si>
  <si>
    <t>E51256336</t>
  </si>
  <si>
    <t>CI-000283</t>
  </si>
  <si>
    <t>E51256648</t>
  </si>
  <si>
    <t>CI-000282</t>
  </si>
  <si>
    <t>CA-000060</t>
  </si>
  <si>
    <t>E51257487</t>
  </si>
  <si>
    <t>CA-000061</t>
  </si>
  <si>
    <t>CI-000284</t>
  </si>
  <si>
    <t>E51258282</t>
  </si>
  <si>
    <t>CI-000285</t>
  </si>
  <si>
    <t>E51259678</t>
  </si>
  <si>
    <t>CA-000062</t>
  </si>
  <si>
    <t>E51259694 </t>
  </si>
  <si>
    <t>180995,48</t>
  </si>
  <si>
    <t>CI-000286</t>
  </si>
  <si>
    <t>STAR6438</t>
  </si>
  <si>
    <t>CI-000287</t>
  </si>
  <si>
    <t>CA-000063</t>
  </si>
  <si>
    <t>CA-000064</t>
  </si>
  <si>
    <t>CA-000065</t>
  </si>
  <si>
    <t>CA-000066</t>
  </si>
  <si>
    <t>CA-000067</t>
  </si>
  <si>
    <t>CA-000068</t>
  </si>
  <si>
    <t>CA-000069</t>
  </si>
  <si>
    <t>CA-000070</t>
  </si>
  <si>
    <t>CA-000071</t>
  </si>
  <si>
    <t>CA-000072</t>
  </si>
  <si>
    <t>CA-000073</t>
  </si>
  <si>
    <t>CA-000074</t>
  </si>
  <si>
    <t>CA-000075</t>
  </si>
  <si>
    <t>CA-000076</t>
  </si>
  <si>
    <t>CI-000288</t>
  </si>
  <si>
    <t>E51261810</t>
  </si>
  <si>
    <t>CA-000077</t>
  </si>
  <si>
    <t>CA-000078</t>
  </si>
  <si>
    <t>CA-000079</t>
  </si>
  <si>
    <t>CI-000289</t>
  </si>
  <si>
    <t>CI-000291</t>
  </si>
  <si>
    <t>E51265342</t>
  </si>
  <si>
    <t>CI-000292</t>
  </si>
  <si>
    <t>SGM-25-321735</t>
  </si>
  <si>
    <t>CA-000080</t>
  </si>
  <si>
    <t>I5J303285</t>
  </si>
  <si>
    <t>CA-000081</t>
  </si>
  <si>
    <t>I5J303286</t>
  </si>
  <si>
    <t>CI-000293</t>
  </si>
  <si>
    <t>I5J503234</t>
  </si>
  <si>
    <t>CI-000294</t>
  </si>
  <si>
    <t>CI-000295</t>
  </si>
  <si>
    <t xml:space="preserve">E51267447 </t>
  </si>
  <si>
    <t>Nicaragua</t>
  </si>
  <si>
    <t>CI-000296</t>
  </si>
  <si>
    <t>E51267974</t>
  </si>
  <si>
    <t>CI-000297</t>
  </si>
  <si>
    <t>CI-000298</t>
  </si>
  <si>
    <t>E51269197</t>
  </si>
  <si>
    <t>CI-000299</t>
  </si>
  <si>
    <t>I5J103100</t>
  </si>
  <si>
    <t>CI-000300</t>
  </si>
  <si>
    <t>E51270270</t>
  </si>
  <si>
    <t>CI-000301</t>
  </si>
  <si>
    <t>E51270304</t>
  </si>
  <si>
    <t>CA-000082</t>
  </si>
  <si>
    <t>E51270980</t>
  </si>
  <si>
    <t>CI-000302</t>
  </si>
  <si>
    <t>CI-000303</t>
  </si>
  <si>
    <t>E51272168</t>
  </si>
  <si>
    <t>CA-000083</t>
  </si>
  <si>
    <t>SGM-25-321470</t>
  </si>
  <si>
    <t>CI-000304</t>
  </si>
  <si>
    <t>CA-000084</t>
  </si>
  <si>
    <t>E51273439 </t>
  </si>
  <si>
    <t>CI-000305</t>
  </si>
  <si>
    <t xml:space="preserve">I5W102455 </t>
  </si>
  <si>
    <t>CA-000085</t>
  </si>
  <si>
    <t>253199,75</t>
  </si>
  <si>
    <t>CA-000086</t>
  </si>
  <si>
    <t>CI-000306</t>
  </si>
  <si>
    <t>E51276138</t>
  </si>
  <si>
    <t>CI-000307</t>
  </si>
  <si>
    <t>E51276851</t>
  </si>
  <si>
    <t>CI-000308</t>
  </si>
  <si>
    <t>F5H104983</t>
  </si>
  <si>
    <t>CI-000309</t>
  </si>
  <si>
    <t>E51278006AA</t>
  </si>
  <si>
    <t>CI-000310</t>
  </si>
  <si>
    <t>E51278438</t>
  </si>
  <si>
    <t>CA-000087</t>
  </si>
  <si>
    <t>E51278695</t>
  </si>
  <si>
    <t>CI-000315</t>
  </si>
  <si>
    <t>E51280392</t>
  </si>
  <si>
    <t>CI-000312</t>
  </si>
  <si>
    <t>E51279839</t>
  </si>
  <si>
    <t>CA-000088</t>
  </si>
  <si>
    <t>E51279937</t>
  </si>
  <si>
    <t>CI-000314</t>
  </si>
  <si>
    <t>110625-46</t>
  </si>
  <si>
    <t>CA-000089</t>
  </si>
  <si>
    <t>E51281497 </t>
  </si>
  <si>
    <t>CI-000316</t>
  </si>
  <si>
    <t>E51281828</t>
  </si>
  <si>
    <t>CI-000317</t>
  </si>
  <si>
    <t>E51282045</t>
  </si>
  <si>
    <t>CA-000090</t>
  </si>
  <si>
    <t>E51282091</t>
  </si>
  <si>
    <t>CA-000092</t>
  </si>
  <si>
    <t>M-601799</t>
  </si>
  <si>
    <t>CA-000091</t>
  </si>
  <si>
    <t>M-601800</t>
  </si>
  <si>
    <t>CI-000318</t>
  </si>
  <si>
    <t>E51284177</t>
  </si>
  <si>
    <t>CA-000093</t>
  </si>
  <si>
    <t>M-602002</t>
  </si>
  <si>
    <t>CI-000320</t>
  </si>
  <si>
    <t>I5J303484</t>
  </si>
  <si>
    <t>CI-000322</t>
  </si>
  <si>
    <t>E51284964</t>
  </si>
  <si>
    <t>CI-000323</t>
  </si>
  <si>
    <t>STAR6476</t>
  </si>
  <si>
    <t>CI-000324</t>
  </si>
  <si>
    <t>111</t>
  </si>
  <si>
    <t>CA-000094</t>
  </si>
  <si>
    <t>E51285346</t>
  </si>
  <si>
    <t>CI-000325</t>
  </si>
  <si>
    <t>E51285597</t>
  </si>
  <si>
    <t>CI-000326</t>
  </si>
  <si>
    <t>25EA85535</t>
  </si>
  <si>
    <t>CI-000327</t>
  </si>
  <si>
    <t xml:space="preserve"> M-602176</t>
  </si>
  <si>
    <t>CA-000095</t>
  </si>
  <si>
    <t>PAC535724</t>
  </si>
  <si>
    <t>CA-000096</t>
  </si>
  <si>
    <t>30821930</t>
  </si>
  <si>
    <t>CI-000328</t>
  </si>
  <si>
    <t>E51286205</t>
  </si>
  <si>
    <t>CA-000097</t>
  </si>
  <si>
    <t>YB1032065</t>
  </si>
  <si>
    <t>CI-000329</t>
  </si>
  <si>
    <t>YD0616179</t>
  </si>
  <si>
    <t>CA-000098</t>
  </si>
  <si>
    <t>769144481</t>
  </si>
  <si>
    <t>37,63</t>
  </si>
  <si>
    <t>CA-000099</t>
  </si>
  <si>
    <t>E51288693</t>
  </si>
  <si>
    <t>CI-000330</t>
  </si>
  <si>
    <t>E51288960</t>
  </si>
  <si>
    <t>CA-000100</t>
  </si>
  <si>
    <t>E51288990</t>
  </si>
  <si>
    <t>CI-000331</t>
  </si>
  <si>
    <t>PAX812733</t>
  </si>
  <si>
    <t>CI-000332</t>
  </si>
  <si>
    <t>53859890p</t>
  </si>
  <si>
    <t>CI-000333</t>
  </si>
  <si>
    <t>24DE29455</t>
  </si>
  <si>
    <t>CA-000101</t>
  </si>
  <si>
    <t>GD5343992</t>
  </si>
  <si>
    <t>CI-000334</t>
  </si>
  <si>
    <t>E51290428</t>
  </si>
  <si>
    <t>CI-000335</t>
  </si>
  <si>
    <t>M-602517</t>
  </si>
  <si>
    <t>125,86</t>
  </si>
  <si>
    <t>CI-000336</t>
  </si>
  <si>
    <t>PAX074099</t>
  </si>
  <si>
    <t>30,50</t>
  </si>
  <si>
    <t>CA-000102</t>
  </si>
  <si>
    <t>E51290551AA</t>
  </si>
  <si>
    <t>CI-000337</t>
  </si>
  <si>
    <t>M-602618</t>
  </si>
  <si>
    <t>CI-000338</t>
  </si>
  <si>
    <t>E51291408</t>
  </si>
  <si>
    <t>CI-000339</t>
  </si>
  <si>
    <t>E51291534</t>
  </si>
  <si>
    <t>CI-000340</t>
  </si>
  <si>
    <t>M-602710</t>
  </si>
  <si>
    <t>CI-000341</t>
  </si>
  <si>
    <t>PAU174676</t>
  </si>
  <si>
    <t>CI-000342</t>
  </si>
  <si>
    <t>PAV555418</t>
  </si>
  <si>
    <t>1467 </t>
  </si>
  <si>
    <t>CA-000103</t>
  </si>
  <si>
    <t>M-602824</t>
  </si>
  <si>
    <t>185.92</t>
  </si>
  <si>
    <t>CI-000343</t>
  </si>
  <si>
    <t>E51293643</t>
  </si>
  <si>
    <t>CA-000104</t>
  </si>
  <si>
    <t>E51294087</t>
  </si>
  <si>
    <t>CI-000344</t>
  </si>
  <si>
    <t>CI-000345</t>
  </si>
  <si>
    <t>CI-000346</t>
  </si>
  <si>
    <t>E51295764</t>
  </si>
  <si>
    <t>CI-000347</t>
  </si>
  <si>
    <t>I5J30359</t>
  </si>
  <si>
    <t>CI-000348</t>
  </si>
  <si>
    <t>CI-000349</t>
  </si>
  <si>
    <t>I04429</t>
  </si>
  <si>
    <t>CI-000350</t>
  </si>
  <si>
    <t>CI-000351</t>
  </si>
  <si>
    <t>E51296486</t>
  </si>
  <si>
    <t>CA-000107</t>
  </si>
  <si>
    <t>E51297240</t>
  </si>
  <si>
    <t>CI-000352</t>
  </si>
  <si>
    <t>E51297573</t>
  </si>
  <si>
    <t>CI-000353</t>
  </si>
  <si>
    <t>1125017440</t>
  </si>
  <si>
    <t>CI-000354</t>
  </si>
  <si>
    <t>E51298314</t>
  </si>
  <si>
    <t>CI-000356</t>
  </si>
  <si>
    <t>PA1134811</t>
  </si>
  <si>
    <t>CA-000108</t>
  </si>
  <si>
    <t>39028020</t>
  </si>
  <si>
    <t>CI-000357</t>
  </si>
  <si>
    <t>M-603316</t>
  </si>
  <si>
    <t>CI-000358</t>
  </si>
  <si>
    <t>M-603389</t>
  </si>
  <si>
    <t>CA-000109</t>
  </si>
  <si>
    <t>E51299002</t>
  </si>
  <si>
    <t>CA-000110</t>
  </si>
  <si>
    <t>E51299019</t>
  </si>
  <si>
    <t>CA-000111</t>
  </si>
  <si>
    <t>E51299227</t>
  </si>
  <si>
    <t>CI-000359</t>
  </si>
  <si>
    <t>M-603411</t>
  </si>
  <si>
    <t>CA-000112</t>
  </si>
  <si>
    <t>E51299862</t>
  </si>
  <si>
    <t>CI-000360</t>
  </si>
  <si>
    <t>E51300204</t>
  </si>
  <si>
    <t>CI-000361</t>
  </si>
  <si>
    <t>CI-000363</t>
  </si>
  <si>
    <t>E51300702AA</t>
  </si>
  <si>
    <t>CI-000364</t>
  </si>
  <si>
    <t>CI-000365</t>
  </si>
  <si>
    <t>E51301181</t>
  </si>
  <si>
    <t>CI-000366</t>
  </si>
  <si>
    <t>CA-000113</t>
  </si>
  <si>
    <t>E51301469</t>
  </si>
  <si>
    <t>CA-000114</t>
  </si>
  <si>
    <t>E51302296</t>
  </si>
  <si>
    <t>CI-000369</t>
  </si>
  <si>
    <t>CA-000115</t>
  </si>
  <si>
    <t>E51302395</t>
  </si>
  <si>
    <t>CA-000116</t>
  </si>
  <si>
    <t>E51303272</t>
  </si>
  <si>
    <t>CI-000370</t>
  </si>
  <si>
    <t>E51303934AA</t>
  </si>
  <si>
    <t>CI-000371</t>
  </si>
  <si>
    <t>M-603946</t>
  </si>
  <si>
    <t>CA-000117</t>
  </si>
  <si>
    <t>E51304221</t>
  </si>
  <si>
    <t>CI-000372</t>
  </si>
  <si>
    <t>E51305125</t>
  </si>
  <si>
    <t>CA-000118</t>
  </si>
  <si>
    <t>E51305114</t>
  </si>
  <si>
    <t>CA-000119</t>
  </si>
  <si>
    <t>E51305137</t>
  </si>
  <si>
    <t>CA-000120</t>
  </si>
  <si>
    <t>I5J103498</t>
  </si>
  <si>
    <t>CI-000373</t>
  </si>
  <si>
    <t>PAO454778</t>
  </si>
  <si>
    <t>CA-000121</t>
  </si>
  <si>
    <t>E51305701</t>
  </si>
  <si>
    <t>CI-000374</t>
  </si>
  <si>
    <t xml:space="preserve">E51305612 </t>
  </si>
  <si>
    <t>CI-000375</t>
  </si>
  <si>
    <t>E51302325</t>
  </si>
  <si>
    <t>CA-000122</t>
  </si>
  <si>
    <t>E51306442</t>
  </si>
  <si>
    <t>CA-000123</t>
  </si>
  <si>
    <t>E51306452</t>
  </si>
  <si>
    <t>CA-000124</t>
  </si>
  <si>
    <t>E51303915</t>
  </si>
  <si>
    <t>CI-000376</t>
  </si>
  <si>
    <t>CA-000125</t>
  </si>
  <si>
    <t>CI-000377</t>
  </si>
  <si>
    <t>F42115266</t>
  </si>
  <si>
    <t>CI-000378</t>
  </si>
  <si>
    <t>CI-000379</t>
  </si>
  <si>
    <t>E51306032</t>
  </si>
  <si>
    <t>CI-000380</t>
  </si>
  <si>
    <t>CI-000381</t>
  </si>
  <si>
    <t>C4WF61LYY</t>
  </si>
  <si>
    <t>09/801/2026</t>
  </si>
  <si>
    <t>CA-000126</t>
  </si>
  <si>
    <t>E61111690</t>
  </si>
  <si>
    <t>CA-000127</t>
  </si>
  <si>
    <t>E61112150</t>
  </si>
  <si>
    <t>CI-000382</t>
  </si>
  <si>
    <t>E61112510</t>
  </si>
  <si>
    <t>CI-000383</t>
  </si>
  <si>
    <t>M-604401</t>
  </si>
  <si>
    <t>CA-000128</t>
  </si>
  <si>
    <t>SGM-26-324144</t>
  </si>
  <si>
    <t>CI-000384</t>
  </si>
  <si>
    <t>M-604525</t>
  </si>
  <si>
    <t>CA-000129</t>
  </si>
  <si>
    <t>E61113061</t>
  </si>
  <si>
    <t>CI-000385</t>
  </si>
  <si>
    <t>E61113148</t>
  </si>
  <si>
    <t>CA-000130</t>
  </si>
  <si>
    <t>E61113508</t>
  </si>
  <si>
    <t>CI-000386</t>
  </si>
  <si>
    <t>CI-000387</t>
  </si>
  <si>
    <t>SGM-26-324231 </t>
  </si>
  <si>
    <t>CI-000388</t>
  </si>
  <si>
    <t xml:space="preserve"> M-604666</t>
  </si>
  <si>
    <t>CI-000389</t>
  </si>
  <si>
    <t>CI-000390</t>
  </si>
  <si>
    <t>E61114239</t>
  </si>
  <si>
    <t>CA-000131</t>
  </si>
  <si>
    <t>E61114287</t>
  </si>
  <si>
    <t>CA-000132</t>
  </si>
  <si>
    <t>E61114639</t>
  </si>
  <si>
    <t>CA-000133</t>
  </si>
  <si>
    <t>E61115655</t>
  </si>
  <si>
    <t>CA-000134</t>
  </si>
  <si>
    <t>E61115656</t>
  </si>
  <si>
    <t>CI-000391</t>
  </si>
  <si>
    <t>M-605075</t>
  </si>
  <si>
    <t>CI-000392</t>
  </si>
  <si>
    <t>SGM-26-324378</t>
  </si>
  <si>
    <t>CA-000135</t>
  </si>
  <si>
    <t>E61115855</t>
  </si>
  <si>
    <t>CA-000136</t>
  </si>
  <si>
    <t>I6J400082</t>
  </si>
  <si>
    <t>CI-000393</t>
  </si>
  <si>
    <t>E61116238</t>
  </si>
  <si>
    <t>CI-000397</t>
  </si>
  <si>
    <t>CI-000394</t>
  </si>
  <si>
    <t>E61116409</t>
  </si>
  <si>
    <t>CI-000396</t>
  </si>
  <si>
    <t>E61116340</t>
  </si>
  <si>
    <t>CA-000137</t>
  </si>
  <si>
    <t>2989757815</t>
  </si>
  <si>
    <t>CA-000138</t>
  </si>
  <si>
    <t>M-605309</t>
  </si>
  <si>
    <t>CA-000139</t>
  </si>
  <si>
    <t>E61116818</t>
  </si>
  <si>
    <t>CA-000140</t>
  </si>
  <si>
    <t>I6J100099</t>
  </si>
  <si>
    <t>CI-000400</t>
  </si>
  <si>
    <t>E61119327</t>
  </si>
  <si>
    <t>CI-000398</t>
  </si>
  <si>
    <t>M-605474</t>
  </si>
  <si>
    <t>CI-000399</t>
  </si>
  <si>
    <t>E61119325</t>
  </si>
  <si>
    <t>CA-000141</t>
  </si>
  <si>
    <t>STAR6533</t>
  </si>
  <si>
    <t>CA-000142</t>
  </si>
  <si>
    <t>E61119355</t>
  </si>
  <si>
    <t>CA-000143</t>
  </si>
  <si>
    <t>E61119661</t>
  </si>
  <si>
    <t>CI-000402</t>
  </si>
  <si>
    <t>E61120655</t>
  </si>
  <si>
    <t>CI-000403</t>
  </si>
  <si>
    <t>E61120867</t>
  </si>
  <si>
    <t>CI-000401</t>
  </si>
  <si>
    <t>M-605568</t>
  </si>
  <si>
    <t>CI-000404</t>
  </si>
  <si>
    <t>E61120888</t>
  </si>
  <si>
    <t>CI-000406</t>
  </si>
  <si>
    <t>E61122204</t>
  </si>
  <si>
    <t>CI-000407</t>
  </si>
  <si>
    <t>I6J500192</t>
  </si>
  <si>
    <t>CI-000405</t>
  </si>
  <si>
    <t>SGM-26-324652</t>
  </si>
  <si>
    <t>CA-000144</t>
  </si>
  <si>
    <t>M-605910</t>
  </si>
  <si>
    <t>CI-000409</t>
  </si>
  <si>
    <t>M-605940</t>
  </si>
  <si>
    <t>CI-000408</t>
  </si>
  <si>
    <t>STAR6546</t>
  </si>
  <si>
    <t>CA-000146</t>
  </si>
  <si>
    <t>F6H400078</t>
  </si>
  <si>
    <t>CI-000410</t>
  </si>
  <si>
    <t>I6J200210</t>
  </si>
  <si>
    <t>CA-000145</t>
  </si>
  <si>
    <t>I6J300239</t>
  </si>
  <si>
    <t>CI-000414</t>
  </si>
  <si>
    <t>CI-000416</t>
  </si>
  <si>
    <t>CA-000147</t>
  </si>
  <si>
    <t>E61123853</t>
  </si>
  <si>
    <t>CI-000411</t>
  </si>
  <si>
    <t>E61124967</t>
  </si>
  <si>
    <t>CI-000413</t>
  </si>
  <si>
    <t>E61125421</t>
  </si>
  <si>
    <t>CI-000415</t>
  </si>
  <si>
    <t>M-606190</t>
  </si>
  <si>
    <t>CI-000412</t>
  </si>
  <si>
    <t>CI-000417</t>
  </si>
  <si>
    <t>M-606330</t>
  </si>
  <si>
    <t>CI-000419</t>
  </si>
  <si>
    <t>E61126426</t>
  </si>
  <si>
    <t>13/01/2026</t>
  </si>
  <si>
    <t>CI-000418</t>
  </si>
  <si>
    <t>E61126433</t>
  </si>
  <si>
    <t>CI-000420</t>
  </si>
  <si>
    <t>E61126705</t>
  </si>
  <si>
    <t>CI-000421</t>
  </si>
  <si>
    <t>E6I270005</t>
  </si>
  <si>
    <t>CI-000423</t>
  </si>
  <si>
    <t>E6V100117</t>
  </si>
  <si>
    <t>CI-000424</t>
  </si>
  <si>
    <t xml:space="preserve">E6V200128 </t>
  </si>
  <si>
    <t>CI-000425</t>
  </si>
  <si>
    <t>E61121790</t>
  </si>
  <si>
    <t>14/01/2026</t>
  </si>
  <si>
    <t>CI-000426</t>
  </si>
  <si>
    <t>E61128154</t>
  </si>
  <si>
    <t>CA-000149</t>
  </si>
  <si>
    <t xml:space="preserve">E6V200133 </t>
  </si>
  <si>
    <t>CA-000148</t>
  </si>
  <si>
    <t>I6J500276</t>
  </si>
  <si>
    <t>CI-000428</t>
  </si>
  <si>
    <t xml:space="preserve"> M-606660</t>
  </si>
  <si>
    <t>15/01/2026</t>
  </si>
  <si>
    <t>CI-000427</t>
  </si>
  <si>
    <t xml:space="preserve">E61128504 </t>
  </si>
  <si>
    <t>CA-000150</t>
  </si>
  <si>
    <t xml:space="preserve">E61128999 </t>
  </si>
  <si>
    <t>CI-000429</t>
  </si>
  <si>
    <t>E61129165</t>
  </si>
  <si>
    <t>CI-000430</t>
  </si>
  <si>
    <t>M-606702</t>
  </si>
  <si>
    <t>CI-000431</t>
  </si>
  <si>
    <t>M-606704</t>
  </si>
  <si>
    <t>CI-000432</t>
  </si>
  <si>
    <t>16/01/2026</t>
  </si>
  <si>
    <t>CI-000434</t>
  </si>
  <si>
    <t>F6E100121</t>
  </si>
  <si>
    <t>CA-000151</t>
  </si>
  <si>
    <t>E61131461</t>
  </si>
  <si>
    <t>17/01/2026</t>
  </si>
  <si>
    <t>CI-000435</t>
  </si>
  <si>
    <t>I6W100113</t>
  </si>
  <si>
    <t>CI-000437</t>
  </si>
  <si>
    <t>M-606925</t>
  </si>
  <si>
    <t>CI-000438</t>
  </si>
  <si>
    <t>M-606935</t>
  </si>
  <si>
    <t>CA-000152</t>
  </si>
  <si>
    <t>18/01/2026</t>
  </si>
  <si>
    <t>CA-000153</t>
  </si>
  <si>
    <t>E61133234</t>
  </si>
  <si>
    <t>19/01/2026</t>
  </si>
  <si>
    <t>CA-000155</t>
  </si>
  <si>
    <t>E61134072</t>
  </si>
  <si>
    <t>CA-000156</t>
  </si>
  <si>
    <t>E61134101</t>
  </si>
  <si>
    <t>CA-000154</t>
  </si>
  <si>
    <t>I6J400337</t>
  </si>
  <si>
    <t>CA-000157</t>
  </si>
  <si>
    <t>E61134987</t>
  </si>
  <si>
    <t>20/01/2026</t>
  </si>
  <si>
    <t>CI-000439</t>
  </si>
  <si>
    <t>CI-000440</t>
  </si>
  <si>
    <t>CA-000158</t>
  </si>
  <si>
    <t>E61135497</t>
  </si>
  <si>
    <t>21/01/2026</t>
  </si>
  <si>
    <t>CI-000442</t>
  </si>
  <si>
    <t>E61135974</t>
  </si>
  <si>
    <t>CI-000444</t>
  </si>
  <si>
    <t>E61136284</t>
  </si>
  <si>
    <t>CA-000159</t>
  </si>
  <si>
    <t>M-607450</t>
  </si>
  <si>
    <t>CA-000160</t>
  </si>
  <si>
    <t>PAU812489</t>
  </si>
  <si>
    <t>CI-000445</t>
  </si>
  <si>
    <t>CA-000161</t>
  </si>
  <si>
    <t>E61136738</t>
  </si>
  <si>
    <t>22/01/2026</t>
  </si>
  <si>
    <t>CI-000446</t>
  </si>
  <si>
    <t>I6J500418</t>
  </si>
  <si>
    <t>CI-000447</t>
  </si>
  <si>
    <t>M-607599</t>
  </si>
  <si>
    <t>CA-000162</t>
  </si>
  <si>
    <t>E61138329</t>
  </si>
  <si>
    <t>23/01/2026</t>
  </si>
  <si>
    <t>CA-000164</t>
  </si>
  <si>
    <t>E61139111</t>
  </si>
  <si>
    <t>CA-000163</t>
  </si>
  <si>
    <t>SGM-26-325662</t>
  </si>
  <si>
    <t>CI-000448</t>
  </si>
  <si>
    <t>E61139247</t>
  </si>
  <si>
    <t>24/01/2026</t>
  </si>
  <si>
    <t>CI-000449</t>
  </si>
  <si>
    <t>E61139429</t>
  </si>
  <si>
    <t>CA-000165</t>
  </si>
  <si>
    <t>E61139623</t>
  </si>
  <si>
    <t>CI-000452</t>
  </si>
  <si>
    <t>E61139913</t>
  </si>
  <si>
    <t>CA-000166</t>
  </si>
  <si>
    <t>E61140178</t>
  </si>
  <si>
    <t>25/01/2026</t>
  </si>
  <si>
    <t>FEE NAC</t>
  </si>
  <si>
    <t>FEE INT</t>
  </si>
  <si>
    <t>PLANET ASSIST</t>
  </si>
  <si>
    <t>STAR ASSISTANCE</t>
  </si>
  <si>
    <t>BLOOM HEALTHCARE</t>
  </si>
  <si>
    <t>CONNEX</t>
  </si>
  <si>
    <t>FLYING DOCTORS</t>
  </si>
  <si>
    <t>MEDIGA</t>
  </si>
  <si>
    <t>WWA</t>
  </si>
  <si>
    <t>Id</t>
  </si>
  <si>
    <t>IdCasoCorresponsal</t>
  </si>
  <si>
    <t>CostoFee</t>
  </si>
  <si>
    <t>CostoUsd</t>
  </si>
  <si>
    <t>CostoMonedaLocal</t>
  </si>
  <si>
    <t>SimboloMonedaLocal</t>
  </si>
  <si>
    <t>TieneFactura</t>
  </si>
  <si>
    <t>NroFactura</t>
  </si>
  <si>
    <t>FechaVtoFact</t>
  </si>
  <si>
    <t>FechaEmiFact</t>
  </si>
  <si>
    <t>FechaPagFact</t>
  </si>
  <si>
    <t>MontoAgregado</t>
  </si>
  <si>
    <t>Observaciones</t>
  </si>
  <si>
    <t>USD</t>
  </si>
  <si>
    <t>ARS</t>
  </si>
  <si>
    <t>EUR</t>
  </si>
  <si>
    <t>EstadoCaso</t>
  </si>
  <si>
    <t>No Fee</t>
  </si>
  <si>
    <t>Refacturado</t>
  </si>
  <si>
    <t>Cobrado</t>
  </si>
  <si>
    <t>On Going</t>
  </si>
  <si>
    <t>Para Refacturar</t>
  </si>
  <si>
    <t>MXN</t>
  </si>
  <si>
    <t>138.067,00</t>
  </si>
  <si>
    <t>6.637.980,40</t>
  </si>
  <si>
    <t>354,84</t>
  </si>
  <si>
    <t>278,12</t>
  </si>
  <si>
    <t>137,95</t>
  </si>
  <si>
    <t>132,69</t>
  </si>
  <si>
    <t>170,18</t>
  </si>
  <si>
    <t>544,61</t>
  </si>
  <si>
    <t>86,15</t>
  </si>
  <si>
    <t>22385,67</t>
  </si>
  <si>
    <t>No</t>
  </si>
  <si>
    <t>Si</t>
  </si>
  <si>
    <t>IdPendiente</t>
  </si>
  <si>
    <t>Luis Enrique HERRERA SOLANo</t>
  </si>
  <si>
    <t>Estado Unidos</t>
  </si>
  <si>
    <t>Panama</t>
  </si>
  <si>
    <t>Italia</t>
  </si>
  <si>
    <t>Chile</t>
  </si>
  <si>
    <t>Mexico</t>
  </si>
  <si>
    <t>Argentina</t>
  </si>
  <si>
    <t>Colombia</t>
  </si>
  <si>
    <t>Australia</t>
  </si>
  <si>
    <t>Francia</t>
  </si>
  <si>
    <t>Republica Dominicana</t>
  </si>
  <si>
    <t>Bolivia</t>
  </si>
  <si>
    <t>Cuba</t>
  </si>
  <si>
    <t>España</t>
  </si>
  <si>
    <t>Peru</t>
  </si>
  <si>
    <t>Costa Rica</t>
  </si>
  <si>
    <t>Japon</t>
  </si>
  <si>
    <t>Grecia</t>
  </si>
  <si>
    <t>Canada</t>
  </si>
  <si>
    <t>Reino Unido</t>
  </si>
  <si>
    <t>Etiopia</t>
  </si>
  <si>
    <t>Arabia Saudita</t>
  </si>
  <si>
    <t>Alemania</t>
  </si>
  <si>
    <t>Marruecos</t>
  </si>
  <si>
    <t>Corea del Sur</t>
  </si>
  <si>
    <t>Taiwan</t>
  </si>
  <si>
    <t>Noruega</t>
  </si>
  <si>
    <t>India</t>
  </si>
  <si>
    <t>Belgica</t>
  </si>
  <si>
    <t>Portugal</t>
  </si>
  <si>
    <t>Paraguay</t>
  </si>
  <si>
    <t>Tunez</t>
  </si>
  <si>
    <t>Suiza</t>
  </si>
  <si>
    <t>Brasil</t>
  </si>
  <si>
    <t>Jamaica</t>
  </si>
  <si>
    <t>Honduras</t>
  </si>
  <si>
    <t>El Salvador</t>
  </si>
  <si>
    <t>Uruguay</t>
  </si>
  <si>
    <t>Venezuela</t>
  </si>
  <si>
    <t>Estados Unidos</t>
  </si>
  <si>
    <t>PaisPendiente</t>
  </si>
  <si>
    <t>Holanda</t>
  </si>
  <si>
    <t>Suecia</t>
  </si>
  <si>
    <t>Guatemala</t>
  </si>
  <si>
    <t>Puerto Rico</t>
  </si>
  <si>
    <t>Emergency</t>
  </si>
  <si>
    <t>Laas</t>
  </si>
  <si>
    <t>Star Assistance</t>
  </si>
  <si>
    <t>Savitar</t>
  </si>
  <si>
    <t>Gva</t>
  </si>
  <si>
    <t>Humancare</t>
  </si>
  <si>
    <t>Medisphere</t>
  </si>
  <si>
    <t>Mega Assistance</t>
  </si>
  <si>
    <t xml:space="preserve">Mega Assistance </t>
  </si>
  <si>
    <t>Eurasia</t>
  </si>
  <si>
    <t>Comfort Health</t>
  </si>
  <si>
    <t xml:space="preserve">Comfort Health </t>
  </si>
  <si>
    <t>Planet</t>
  </si>
  <si>
    <t xml:space="preserve">Planet </t>
  </si>
  <si>
    <t>Ima</t>
  </si>
  <si>
    <t>Lga Dubai</t>
  </si>
  <si>
    <t>Ima Iberica</t>
  </si>
  <si>
    <t>Ima Italia</t>
  </si>
  <si>
    <t>Bloom</t>
  </si>
  <si>
    <t>Lga</t>
  </si>
  <si>
    <t>Ima Francia</t>
  </si>
  <si>
    <t xml:space="preserve"> 98,17</t>
  </si>
  <si>
    <t>105,28</t>
  </si>
  <si>
    <t>nombreCorresponsal</t>
  </si>
  <si>
    <t>IdCasoAssistravel</t>
  </si>
  <si>
    <t>FechaInicio</t>
  </si>
  <si>
    <t>Pais</t>
  </si>
  <si>
    <t>InformeMedico</t>
  </si>
  <si>
    <t>EstadoInterno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</si>
</sst>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USD]\ #,##0.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4C4C4C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CBAD"/>
        <bgColor rgb="FFC6E0B4"/>
      </patternFill>
    </fill>
    <fill>
      <patternFill patternType="solid">
        <fgColor rgb="FF9BC2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03F7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4" borderId="0" xfId="0" applyFill="1"/>
    <xf numFmtId="0" fontId="1" fillId="3" borderId="0" xfId="0" applyFont="1" applyFill="1" applyAlignment="1">
      <alignment wrapText="1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5" borderId="0" xfId="0" applyFill="1"/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4" borderId="0" xfId="0" applyFont="1" applyFill="1" applyAlignment="1">
      <alignment wrapText="1"/>
    </xf>
    <xf numFmtId="165" fontId="1" fillId="5" borderId="0" xfId="0" applyNumberFormat="1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5" fontId="1" fillId="3" borderId="0" xfId="0" applyNumberFormat="1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3" fillId="5" borderId="0" xfId="0" applyFont="1" applyFill="1"/>
    <xf numFmtId="0" fontId="1" fillId="5" borderId="0" xfId="0" applyFont="1" applyFill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165" fontId="2" fillId="2" borderId="1" xfId="0" applyNumberFormat="1" applyFont="1" applyFill="1" applyBorder="1" applyAlignment="1">
      <alignment horizontal="right"/>
    </xf>
    <xf numFmtId="14" fontId="3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 wrapText="1"/>
    </xf>
    <xf numFmtId="0" fontId="7" fillId="4" borderId="0" xfId="0" applyFont="1" applyFill="1"/>
    <xf numFmtId="0" fontId="4" fillId="4" borderId="0" xfId="0" applyFont="1" applyFill="1"/>
    <xf numFmtId="0" fontId="1" fillId="0" borderId="0" xfId="0" applyFont="1" applyAlignment="1">
      <alignment wrapText="1"/>
    </xf>
    <xf numFmtId="4" fontId="2" fillId="2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4" fontId="1" fillId="5" borderId="0" xfId="0" applyNumberFormat="1" applyFont="1" applyFill="1" applyAlignment="1">
      <alignment horizontal="right"/>
    </xf>
    <xf numFmtId="4" fontId="1" fillId="6" borderId="0" xfId="0" applyNumberFormat="1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4" fontId="2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1" fillId="5" borderId="0" xfId="0" applyNumberFormat="1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1" fillId="5" borderId="0" xfId="0" applyNumberFormat="1" applyFont="1" applyFill="1"/>
    <xf numFmtId="164" fontId="1" fillId="6" borderId="0" xfId="0" applyNumberFormat="1" applyFont="1" applyFill="1"/>
    <xf numFmtId="164" fontId="1" fillId="3" borderId="0" xfId="0" applyNumberFormat="1" applyFont="1" applyFill="1"/>
    <xf numFmtId="4" fontId="7" fillId="4" borderId="0" xfId="0" applyNumberFormat="1" applyFont="1" applyFill="1"/>
    <xf numFmtId="4" fontId="1" fillId="0" borderId="0" xfId="0" applyNumberFormat="1" applyFont="1"/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165" fontId="0" fillId="5" borderId="0" xfId="0" applyNumberFormat="1" applyFill="1" applyAlignment="1">
      <alignment horizontal="right"/>
    </xf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horizontal="right"/>
    </xf>
    <xf numFmtId="4" fontId="0" fillId="5" borderId="0" xfId="0" applyNumberFormat="1" applyFill="1"/>
    <xf numFmtId="14" fontId="0" fillId="5" borderId="0" xfId="0" applyNumberFormat="1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right"/>
    </xf>
    <xf numFmtId="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0" fontId="0" fillId="4" borderId="0" xfId="0" applyFill="1" applyAlignment="1">
      <alignment horizontal="center"/>
    </xf>
    <xf numFmtId="164" fontId="0" fillId="4" borderId="0" xfId="0" applyNumberFormat="1" applyFill="1"/>
    <xf numFmtId="164" fontId="0" fillId="3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164" fontId="0" fillId="5" borderId="0" xfId="0" applyNumberFormat="1" applyFill="1" applyAlignment="1">
      <alignment horizontal="right" vertical="center"/>
    </xf>
    <xf numFmtId="0" fontId="0" fillId="3" borderId="0" xfId="0" applyFill="1" applyAlignment="1">
      <alignment horizontal="left"/>
    </xf>
    <xf numFmtId="165" fontId="0" fillId="3" borderId="0" xfId="0" applyNumberFormat="1" applyFill="1" applyAlignment="1">
      <alignment horizontal="right"/>
    </xf>
    <xf numFmtId="0" fontId="0" fillId="5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164" fontId="0" fillId="4" borderId="0" xfId="0" applyNumberFormat="1" applyFill="1" applyAlignment="1">
      <alignment horizontal="center"/>
    </xf>
    <xf numFmtId="4" fontId="0" fillId="3" borderId="0" xfId="0" applyNumberFormat="1" applyFill="1"/>
    <xf numFmtId="0" fontId="0" fillId="8" borderId="0" xfId="0" applyFill="1" applyAlignment="1">
      <alignment horizontal="left"/>
    </xf>
    <xf numFmtId="164" fontId="0" fillId="8" borderId="0" xfId="0" applyNumberFormat="1" applyFill="1" applyAlignment="1">
      <alignment horizontal="right"/>
    </xf>
    <xf numFmtId="4" fontId="0" fillId="8" borderId="0" xfId="0" applyNumberFormat="1" applyFill="1" applyAlignment="1">
      <alignment horizontal="right"/>
    </xf>
    <xf numFmtId="0" fontId="0" fillId="8" borderId="0" xfId="0" applyFill="1" applyAlignment="1">
      <alignment horizontal="center"/>
    </xf>
    <xf numFmtId="164" fontId="0" fillId="8" borderId="0" xfId="0" applyNumberFormat="1" applyFill="1"/>
    <xf numFmtId="0" fontId="0" fillId="4" borderId="0" xfId="0" applyFill="1" applyAlignment="1">
      <alignment wrapText="1"/>
    </xf>
    <xf numFmtId="164" fontId="0" fillId="4" borderId="0" xfId="0" applyNumberFormat="1" applyFill="1" applyAlignment="1">
      <alignment horizontal="right" wrapText="1"/>
    </xf>
    <xf numFmtId="164" fontId="0" fillId="5" borderId="0" xfId="0" applyNumberFormat="1" applyFill="1" applyAlignment="1">
      <alignment horizontal="right" wrapText="1"/>
    </xf>
    <xf numFmtId="0" fontId="0" fillId="8" borderId="0" xfId="0" applyFill="1" applyAlignment="1">
      <alignment wrapText="1"/>
    </xf>
    <xf numFmtId="164" fontId="0" fillId="8" borderId="0" xfId="0" applyNumberFormat="1" applyFill="1" applyAlignment="1">
      <alignment horizontal="right" wrapText="1"/>
    </xf>
    <xf numFmtId="4" fontId="0" fillId="8" borderId="0" xfId="0" applyNumberFormat="1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164" fontId="0" fillId="3" borderId="0" xfId="0" applyNumberFormat="1" applyFill="1" applyAlignment="1">
      <alignment horizontal="right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justify" wrapText="1"/>
    </xf>
    <xf numFmtId="0" fontId="0" fillId="8" borderId="0" xfId="0" applyFill="1" applyAlignment="1">
      <alignment horizontal="left" vertical="justify" wrapText="1"/>
    </xf>
    <xf numFmtId="164" fontId="0" fillId="8" borderId="0" xfId="0" applyNumberFormat="1" applyFill="1" applyAlignment="1">
      <alignment horizontal="right" vertical="justify" wrapText="1"/>
    </xf>
    <xf numFmtId="0" fontId="0" fillId="3" borderId="0" xfId="0" applyFill="1" applyAlignment="1">
      <alignment horizontal="left" vertical="justify" wrapText="1"/>
    </xf>
    <xf numFmtId="164" fontId="0" fillId="3" borderId="0" xfId="0" applyNumberFormat="1" applyFill="1" applyAlignment="1">
      <alignment horizontal="right" vertical="justify" wrapText="1"/>
    </xf>
    <xf numFmtId="0" fontId="0" fillId="5" borderId="0" xfId="0" applyFill="1" applyAlignment="1">
      <alignment horizontal="left" vertical="justify" wrapText="1"/>
    </xf>
    <xf numFmtId="164" fontId="0" fillId="5" borderId="0" xfId="0" applyNumberFormat="1" applyFill="1" applyAlignment="1">
      <alignment horizontal="right" vertical="justify" wrapText="1"/>
    </xf>
    <xf numFmtId="0" fontId="0" fillId="0" borderId="0" xfId="0" applyAlignment="1">
      <alignment horizontal="left" vertical="justify" wrapText="1"/>
    </xf>
    <xf numFmtId="164" fontId="0" fillId="0" borderId="0" xfId="0" applyNumberFormat="1" applyAlignment="1">
      <alignment horizontal="right" vertical="justify" wrapText="1"/>
    </xf>
    <xf numFmtId="164" fontId="0" fillId="4" borderId="0" xfId="0" applyNumberFormat="1" applyFill="1" applyAlignment="1">
      <alignment horizontal="right" vertical="justify" wrapText="1"/>
    </xf>
    <xf numFmtId="0" fontId="0" fillId="8" borderId="0" xfId="0" applyFill="1" applyAlignment="1">
      <alignment horizontal="left" vertical="top"/>
    </xf>
    <xf numFmtId="14" fontId="1" fillId="3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3" borderId="0" xfId="0" applyFont="1" applyFill="1" applyAlignment="1">
      <alignment horizontal="left" vertical="justify" wrapText="1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/>
    </xf>
    <xf numFmtId="49" fontId="1" fillId="5" borderId="0" xfId="0" applyNumberFormat="1" applyFont="1" applyFill="1"/>
    <xf numFmtId="49" fontId="1" fillId="6" borderId="0" xfId="0" applyNumberFormat="1" applyFont="1" applyFill="1"/>
    <xf numFmtId="49" fontId="0" fillId="4" borderId="0" xfId="0" applyNumberFormat="1" applyFill="1"/>
    <xf numFmtId="49" fontId="0" fillId="5" borderId="0" xfId="0" applyNumberFormat="1" applyFill="1"/>
    <xf numFmtId="49" fontId="1" fillId="3" borderId="0" xfId="0" applyNumberFormat="1" applyFont="1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0" fillId="0" borderId="0" xfId="0" applyNumberFormat="1"/>
    <xf numFmtId="49" fontId="0" fillId="8" borderId="0" xfId="0" applyNumberFormat="1" applyFill="1"/>
    <xf numFmtId="49" fontId="0" fillId="4" borderId="0" xfId="0" applyNumberFormat="1" applyFill="1" applyAlignment="1">
      <alignment wrapText="1"/>
    </xf>
    <xf numFmtId="49" fontId="0" fillId="5" borderId="0" xfId="0" applyNumberFormat="1" applyFill="1" applyAlignment="1">
      <alignment wrapText="1"/>
    </xf>
    <xf numFmtId="49" fontId="0" fillId="8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horizontal="left" vertical="justify" wrapText="1"/>
    </xf>
    <xf numFmtId="49" fontId="0" fillId="8" borderId="0" xfId="0" applyNumberFormat="1" applyFill="1" applyAlignment="1">
      <alignment horizontal="left" vertical="justify" wrapText="1"/>
    </xf>
    <xf numFmtId="49" fontId="0" fillId="3" borderId="0" xfId="0" applyNumberFormat="1" applyFill="1" applyAlignment="1">
      <alignment horizontal="left" vertical="justify" wrapText="1"/>
    </xf>
    <xf numFmtId="49" fontId="0" fillId="5" borderId="0" xfId="0" applyNumberFormat="1" applyFill="1" applyAlignment="1">
      <alignment horizontal="left" vertical="justify" wrapText="1"/>
    </xf>
    <xf numFmtId="49" fontId="0" fillId="0" borderId="0" xfId="0" applyNumberFormat="1" applyAlignment="1">
      <alignment horizontal="left" vertical="justify" wrapText="1"/>
    </xf>
    <xf numFmtId="164" fontId="1" fillId="3" borderId="0" xfId="0" applyNumberFormat="1" applyFont="1" applyFill="1" applyAlignment="1">
      <alignment horizontal="right" wrapText="1"/>
    </xf>
    <xf numFmtId="49" fontId="1" fillId="3" borderId="0" xfId="0" applyNumberFormat="1" applyFont="1" applyFill="1" applyAlignment="1">
      <alignment wrapText="1"/>
    </xf>
    <xf numFmtId="164" fontId="1" fillId="4" borderId="0" xfId="0" applyNumberFormat="1" applyFont="1" applyFill="1" applyAlignment="1">
      <alignment horizontal="right" wrapText="1"/>
    </xf>
    <xf numFmtId="49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164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wrapText="1"/>
    </xf>
    <xf numFmtId="0" fontId="4" fillId="4" borderId="0" xfId="0" applyFont="1" applyFill="1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9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26"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DA74C9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dd/mm/yyyy;@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dd/mm/yyyy;@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dd/mm/yyyy;@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[$USD]\ #,##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dd/mm/yyyy;@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colors>
    <mruColors>
      <color rgb="FFDA74C9"/>
      <color rgb="FFB03F7F"/>
      <color rgb="FFF8CBAD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D2FCEB-7B8D-4733-95E2-2FD8DA5E27F4}" name="Tabla4" displayName="Tabla4" ref="A1:T571" totalsRowShown="0" dataDxfId="25">
  <autoFilter ref="A1:T571" xr:uid="{75D2FCEB-7B8D-4733-95E2-2FD8DA5E27F4}"/>
  <tableColumns count="20">
    <tableColumn id="1" xr3:uid="{4FFF69DD-D279-4C78-B2F5-6AD4E781619E}" name="Id" dataDxfId="24"/>
    <tableColumn id="2" xr3:uid="{72572A85-C682-49FD-96FC-CEE9ABB7191D}" name="nombreCorresponsal" dataDxfId="23"/>
    <tableColumn id="3" xr3:uid="{631A14CE-93DB-4793-BFDF-0BA44E682E48}" name="IdCasoAssistravel" dataDxfId="22"/>
    <tableColumn id="4" xr3:uid="{36EA6B34-A7A0-409D-83B7-4C31CEE9D217}" name="IdCasoCorresponsal" dataDxfId="21"/>
    <tableColumn id="5" xr3:uid="{F7474374-5648-4D40-91C3-A0A68EF67909}" name="FechaInicio" dataDxfId="20"/>
    <tableColumn id="6" xr3:uid="{D530D894-27C5-4DE6-B6CB-E2D95E751C52}" name="Pais" dataDxfId="19"/>
    <tableColumn id="7" xr3:uid="{DBA20050-E428-4AB0-8731-90249A322B54}" name="CostoFee" dataDxfId="18"/>
    <tableColumn id="8" xr3:uid="{0AE72E77-DFF1-4AF5-A444-DCAE57A38D35}" name="CostoUsd" dataDxfId="17"/>
    <tableColumn id="17" xr3:uid="{7197B548-A945-4DEF-A87C-2AA8B5D00EF1}" name="MontoAgregado" dataDxfId="5"/>
    <tableColumn id="9" xr3:uid="{60D4D87B-9B4C-4101-BA39-610649804C5C}" name="CostoMonedaLocal" dataDxfId="16"/>
    <tableColumn id="10" xr3:uid="{9258E7A4-3ABE-48E4-8893-A4C7B1623D46}" name="SimboloMonedaLocal" dataDxfId="15"/>
    <tableColumn id="11" xr3:uid="{B8633D45-4865-4F9E-9482-EE5036D4A262}" name="InformeMedico" dataDxfId="14"/>
    <tableColumn id="12" xr3:uid="{96C799CC-6ED3-4ECB-B468-7069C3FA531C}" name="TieneFactura" dataDxfId="13"/>
    <tableColumn id="13" xr3:uid="{7F7CB014-650D-4247-BAFC-01A99EF6A32F}" name="FechaEmiFact" dataDxfId="12"/>
    <tableColumn id="14" xr3:uid="{A5447E28-6D24-4DF4-9740-1C0ACECB3B89}" name="FechaVtoFact" dataDxfId="11"/>
    <tableColumn id="15" xr3:uid="{4648836F-B230-405D-9C64-1959056B2337}" name="FechaPagFact" dataDxfId="10"/>
    <tableColumn id="16" xr3:uid="{E1B9F205-90B3-4C97-A7FD-800E0D2DBEFA}" name="NroFactura" dataDxfId="9"/>
    <tableColumn id="19" xr3:uid="{79EB8791-F7F5-4812-A501-6D606D17322E}" name="EstadoInterno" dataDxfId="8">
      <calculatedColumnFormula>IF(OR(S2="On Going", S2="Refacturado", S2="Para Refacturar"), "Abierto", IF(OR(S2="Cobrado", S2="No Fee"), "Cerrado", ""))</calculatedColumnFormula>
    </tableColumn>
    <tableColumn id="20" xr3:uid="{357D1F19-609F-49BB-8D1B-463E72A62442}" name="EstadoCaso" dataDxfId="7"/>
    <tableColumn id="18" xr3:uid="{36475668-0109-44D6-A335-1DE6EEBF595B}" name="Observaciones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2238-7F76-4297-B0F2-5A098D49D9C1}">
  <dimension ref="A1:T571"/>
  <sheetViews>
    <sheetView tabSelected="1" topLeftCell="I1" workbookViewId="0">
      <pane ySplit="1" topLeftCell="A2" activePane="bottomLeft" state="frozen"/>
      <selection pane="bottomLeft" activeCell="T8" sqref="T8"/>
    </sheetView>
  </sheetViews>
  <sheetFormatPr baseColWidth="10" defaultColWidth="11.44140625" defaultRowHeight="14.4" x14ac:dyDescent="0.3"/>
  <cols>
    <col min="1" max="1" width="4.44140625" customWidth="1"/>
    <col min="2" max="2" width="23.33203125" bestFit="1" customWidth="1"/>
    <col min="3" max="3" width="19.88671875" bestFit="1" customWidth="1"/>
    <col min="4" max="4" width="19.44140625" style="6" customWidth="1"/>
    <col min="5" max="5" width="16.33203125" style="49" customWidth="1"/>
    <col min="6" max="6" width="22.21875" style="132" bestFit="1" customWidth="1"/>
    <col min="7" max="7" width="13.109375" style="44" bestFit="1" customWidth="1"/>
    <col min="8" max="8" width="10.88671875" style="44" customWidth="1"/>
    <col min="9" max="9" width="17.109375" style="20" bestFit="1" customWidth="1"/>
    <col min="10" max="10" width="19.109375" style="44" customWidth="1"/>
    <col min="11" max="11" width="21.21875" style="25" customWidth="1"/>
    <col min="12" max="12" width="23.21875" style="7" bestFit="1" customWidth="1"/>
    <col min="13" max="13" width="16.21875" style="7" bestFit="1" customWidth="1"/>
    <col min="14" max="14" width="16.88671875" style="54" bestFit="1" customWidth="1"/>
    <col min="15" max="15" width="12.33203125" style="54" bestFit="1" customWidth="1"/>
    <col min="16" max="16" width="12.44140625" style="54" bestFit="1" customWidth="1"/>
    <col min="17" max="17" width="22.44140625" bestFit="1" customWidth="1"/>
    <col min="19" max="20" width="17.109375" customWidth="1"/>
    <col min="21" max="21" width="15.88671875" bestFit="1" customWidth="1"/>
  </cols>
  <sheetData>
    <row r="1" spans="1:20" x14ac:dyDescent="0.3">
      <c r="A1" t="s">
        <v>976</v>
      </c>
      <c r="B1" s="3" t="s">
        <v>1080</v>
      </c>
      <c r="C1" s="3" t="s">
        <v>1081</v>
      </c>
      <c r="D1" s="3" t="s">
        <v>977</v>
      </c>
      <c r="E1" s="154" t="s">
        <v>1082</v>
      </c>
      <c r="F1" s="122" t="s">
        <v>1083</v>
      </c>
      <c r="G1" s="48" t="s">
        <v>978</v>
      </c>
      <c r="H1" s="43" t="s">
        <v>979</v>
      </c>
      <c r="I1" s="58" t="s">
        <v>987</v>
      </c>
      <c r="J1" s="43" t="s">
        <v>980</v>
      </c>
      <c r="K1" s="37" t="s">
        <v>981</v>
      </c>
      <c r="L1" s="3" t="s">
        <v>1084</v>
      </c>
      <c r="M1" s="3" t="s">
        <v>982</v>
      </c>
      <c r="N1" s="53" t="s">
        <v>985</v>
      </c>
      <c r="O1" s="4" t="s">
        <v>984</v>
      </c>
      <c r="P1" s="4" t="s">
        <v>986</v>
      </c>
      <c r="Q1" s="5" t="s">
        <v>983</v>
      </c>
      <c r="R1" s="40" t="s">
        <v>1085</v>
      </c>
      <c r="S1" s="40" t="s">
        <v>992</v>
      </c>
      <c r="T1" s="40" t="s">
        <v>988</v>
      </c>
    </row>
    <row r="2" spans="1:20" s="1" customFormat="1" ht="15" customHeight="1" x14ac:dyDescent="0.3">
      <c r="A2">
        <v>1</v>
      </c>
      <c r="B2" t="s">
        <v>1057</v>
      </c>
      <c r="C2" s="6" t="s">
        <v>2</v>
      </c>
      <c r="D2" s="6">
        <v>1686048158</v>
      </c>
      <c r="E2" s="49">
        <v>45450</v>
      </c>
      <c r="F2" s="123" t="s">
        <v>1017</v>
      </c>
      <c r="G2" s="44">
        <v>90</v>
      </c>
      <c r="H2" s="44">
        <v>0</v>
      </c>
      <c r="I2" s="20">
        <v>0</v>
      </c>
      <c r="J2" s="44">
        <v>0</v>
      </c>
      <c r="K2" s="25" t="s">
        <v>989</v>
      </c>
      <c r="L2" s="7" t="s">
        <v>1010</v>
      </c>
      <c r="M2" s="7" t="s">
        <v>1009</v>
      </c>
      <c r="N2" s="54"/>
      <c r="O2" s="49"/>
      <c r="P2" s="54"/>
      <c r="Q2"/>
      <c r="R2" t="str">
        <f t="shared" ref="R2:R65" si="0">IF(OR(S2="On Going", S2="Refacturado", S2="Para Refacturar"), "Abierto", IF(OR(S2="Cobrado", S2="No Fee"), "Cerrado", ""))</f>
        <v>Abierto</v>
      </c>
      <c r="S2" t="s">
        <v>996</v>
      </c>
      <c r="T2"/>
    </row>
    <row r="3" spans="1:20" s="12" customFormat="1" x14ac:dyDescent="0.3">
      <c r="A3">
        <v>2</v>
      </c>
      <c r="B3" s="12" t="s">
        <v>1057</v>
      </c>
      <c r="C3" s="60" t="s">
        <v>3</v>
      </c>
      <c r="D3" s="60">
        <v>3759307571</v>
      </c>
      <c r="E3" s="61">
        <v>45471</v>
      </c>
      <c r="F3" s="124" t="s">
        <v>1013</v>
      </c>
      <c r="G3" s="62">
        <v>250</v>
      </c>
      <c r="H3" s="62">
        <v>2000</v>
      </c>
      <c r="I3" s="67">
        <v>0</v>
      </c>
      <c r="J3" s="62">
        <v>2000</v>
      </c>
      <c r="K3" s="63" t="s">
        <v>989</v>
      </c>
      <c r="L3" s="64" t="s">
        <v>1010</v>
      </c>
      <c r="M3" s="64" t="s">
        <v>1010</v>
      </c>
      <c r="N3" s="55">
        <v>45723</v>
      </c>
      <c r="O3" s="55">
        <v>45757</v>
      </c>
      <c r="P3" s="65">
        <v>45954</v>
      </c>
      <c r="Q3" s="66" t="s">
        <v>4</v>
      </c>
      <c r="R3" t="str">
        <f t="shared" si="0"/>
        <v>Cerrado</v>
      </c>
      <c r="S3" s="68" t="s">
        <v>995</v>
      </c>
    </row>
    <row r="4" spans="1:20" s="1" customFormat="1" x14ac:dyDescent="0.3">
      <c r="A4">
        <v>3</v>
      </c>
      <c r="B4" s="12" t="s">
        <v>1057</v>
      </c>
      <c r="C4" s="60" t="s">
        <v>5</v>
      </c>
      <c r="D4" s="60">
        <v>3595272614</v>
      </c>
      <c r="E4" s="61">
        <v>45569</v>
      </c>
      <c r="F4" s="124" t="s">
        <v>1013</v>
      </c>
      <c r="G4" s="62">
        <v>90</v>
      </c>
      <c r="H4" s="62">
        <v>2597.21</v>
      </c>
      <c r="I4" s="67">
        <v>2179.7800000000002</v>
      </c>
      <c r="J4" s="62">
        <v>2597.21</v>
      </c>
      <c r="K4" s="63" t="s">
        <v>989</v>
      </c>
      <c r="L4" s="64" t="s">
        <v>1010</v>
      </c>
      <c r="M4" s="64" t="s">
        <v>1010</v>
      </c>
      <c r="N4" s="65">
        <v>45761</v>
      </c>
      <c r="O4" s="61">
        <v>45422</v>
      </c>
      <c r="P4" s="65">
        <v>45833</v>
      </c>
      <c r="Q4" s="12">
        <v>1270</v>
      </c>
      <c r="R4" t="str">
        <f t="shared" si="0"/>
        <v>Cerrado</v>
      </c>
      <c r="S4" s="67" t="s">
        <v>995</v>
      </c>
      <c r="T4" s="12"/>
    </row>
    <row r="5" spans="1:20" s="1" customFormat="1" ht="12.75" customHeight="1" x14ac:dyDescent="0.3">
      <c r="A5">
        <v>4</v>
      </c>
      <c r="B5" t="s">
        <v>1057</v>
      </c>
      <c r="C5" s="6" t="s">
        <v>6</v>
      </c>
      <c r="D5" s="6">
        <v>3731606141</v>
      </c>
      <c r="E5" s="49">
        <v>45584</v>
      </c>
      <c r="F5" s="123" t="s">
        <v>1015</v>
      </c>
      <c r="G5" s="44">
        <v>90</v>
      </c>
      <c r="H5" s="44">
        <v>90</v>
      </c>
      <c r="I5" s="20">
        <v>0</v>
      </c>
      <c r="J5" s="44">
        <v>0</v>
      </c>
      <c r="K5" s="25" t="s">
        <v>989</v>
      </c>
      <c r="L5" s="7" t="s">
        <v>1009</v>
      </c>
      <c r="M5" s="7" t="s">
        <v>1009</v>
      </c>
      <c r="N5" s="54"/>
      <c r="O5" s="49"/>
      <c r="P5" s="54"/>
      <c r="Q5"/>
      <c r="R5" t="str">
        <f t="shared" si="0"/>
        <v>Abierto</v>
      </c>
      <c r="S5" t="s">
        <v>996</v>
      </c>
      <c r="T5"/>
    </row>
    <row r="6" spans="1:20" s="1" customFormat="1" x14ac:dyDescent="0.3">
      <c r="A6">
        <v>5</v>
      </c>
      <c r="B6" s="12" t="s">
        <v>1058</v>
      </c>
      <c r="C6" s="60" t="s">
        <v>8</v>
      </c>
      <c r="D6" s="60">
        <v>45179</v>
      </c>
      <c r="E6" s="61">
        <v>45590</v>
      </c>
      <c r="F6" s="124" t="s">
        <v>1045</v>
      </c>
      <c r="G6" s="62">
        <v>0</v>
      </c>
      <c r="H6" s="62">
        <v>260</v>
      </c>
      <c r="I6" s="67">
        <v>0</v>
      </c>
      <c r="J6" s="62">
        <v>260</v>
      </c>
      <c r="K6" s="62" t="s">
        <v>989</v>
      </c>
      <c r="L6" s="64" t="s">
        <v>1010</v>
      </c>
      <c r="M6" s="64" t="s">
        <v>1010</v>
      </c>
      <c r="N6" s="55">
        <v>45698</v>
      </c>
      <c r="O6" s="55">
        <v>45726</v>
      </c>
      <c r="P6" s="65"/>
      <c r="Q6" s="12">
        <v>1253</v>
      </c>
      <c r="R6" t="str">
        <f t="shared" si="0"/>
        <v>Cerrado</v>
      </c>
      <c r="S6" s="12" t="s">
        <v>995</v>
      </c>
      <c r="T6" s="12"/>
    </row>
    <row r="7" spans="1:20" s="1" customFormat="1" ht="15" customHeight="1" x14ac:dyDescent="0.3">
      <c r="A7">
        <v>6</v>
      </c>
      <c r="B7" s="12" t="s">
        <v>1057</v>
      </c>
      <c r="C7" s="60" t="s">
        <v>9</v>
      </c>
      <c r="D7" s="60">
        <v>1458172926</v>
      </c>
      <c r="E7" s="61">
        <v>45629</v>
      </c>
      <c r="F7" s="124" t="s">
        <v>1013</v>
      </c>
      <c r="G7" s="62">
        <v>180</v>
      </c>
      <c r="H7" s="62">
        <v>9535.6200000000008</v>
      </c>
      <c r="I7" s="67">
        <v>2179.7800000000002</v>
      </c>
      <c r="J7" s="62">
        <v>9535.6200000000008</v>
      </c>
      <c r="K7" s="63" t="s">
        <v>989</v>
      </c>
      <c r="L7" s="64" t="s">
        <v>1010</v>
      </c>
      <c r="M7" s="64" t="s">
        <v>1010</v>
      </c>
      <c r="N7" s="65">
        <v>45699</v>
      </c>
      <c r="O7" s="61">
        <v>45726</v>
      </c>
      <c r="P7" s="55">
        <v>45712</v>
      </c>
      <c r="Q7" s="12">
        <v>1254</v>
      </c>
      <c r="R7" t="str">
        <f t="shared" si="0"/>
        <v>Cerrado</v>
      </c>
      <c r="S7" s="67" t="s">
        <v>995</v>
      </c>
      <c r="T7" s="12"/>
    </row>
    <row r="8" spans="1:20" s="12" customFormat="1" ht="15" customHeight="1" x14ac:dyDescent="0.3">
      <c r="A8">
        <v>7</v>
      </c>
      <c r="B8" s="14" t="s">
        <v>1059</v>
      </c>
      <c r="C8" s="13" t="s">
        <v>10</v>
      </c>
      <c r="D8" s="15" t="s">
        <v>11</v>
      </c>
      <c r="E8" s="50">
        <v>45639</v>
      </c>
      <c r="F8" s="125" t="s">
        <v>1018</v>
      </c>
      <c r="G8" s="45">
        <v>70</v>
      </c>
      <c r="H8" s="45">
        <v>96.91</v>
      </c>
      <c r="I8" s="20">
        <v>0</v>
      </c>
      <c r="J8" s="45">
        <v>96.91</v>
      </c>
      <c r="K8" s="30" t="s">
        <v>989</v>
      </c>
      <c r="L8" s="16" t="s">
        <v>1010</v>
      </c>
      <c r="M8" s="16" t="s">
        <v>1010</v>
      </c>
      <c r="N8" s="65">
        <v>45666</v>
      </c>
      <c r="O8" s="61">
        <v>45698</v>
      </c>
      <c r="P8" s="55">
        <v>45768</v>
      </c>
      <c r="Q8" s="12">
        <v>1235</v>
      </c>
      <c r="R8" t="str">
        <f t="shared" si="0"/>
        <v>Abierto</v>
      </c>
      <c r="S8" t="s">
        <v>996</v>
      </c>
      <c r="T8"/>
    </row>
    <row r="9" spans="1:20" s="12" customFormat="1" x14ac:dyDescent="0.3">
      <c r="A9">
        <v>8</v>
      </c>
      <c r="B9" s="14" t="s">
        <v>1057</v>
      </c>
      <c r="C9" s="13" t="s">
        <v>12</v>
      </c>
      <c r="D9" s="15">
        <v>1590016705</v>
      </c>
      <c r="E9" s="50">
        <v>45644</v>
      </c>
      <c r="F9" s="125" t="s">
        <v>1013</v>
      </c>
      <c r="G9" s="45">
        <v>90</v>
      </c>
      <c r="H9" s="45">
        <v>30</v>
      </c>
      <c r="I9" s="20">
        <v>0</v>
      </c>
      <c r="J9" s="45">
        <v>30</v>
      </c>
      <c r="K9" s="23" t="s">
        <v>989</v>
      </c>
      <c r="L9" s="16" t="s">
        <v>1009</v>
      </c>
      <c r="M9" s="16" t="s">
        <v>1010</v>
      </c>
      <c r="N9" s="65">
        <v>45666</v>
      </c>
      <c r="O9" s="61">
        <v>45698</v>
      </c>
      <c r="P9" s="55">
        <v>45712</v>
      </c>
      <c r="Q9" s="12">
        <v>1238</v>
      </c>
      <c r="R9" t="str">
        <f t="shared" si="0"/>
        <v>Cerrado</v>
      </c>
      <c r="S9" t="s">
        <v>995</v>
      </c>
      <c r="T9"/>
    </row>
    <row r="10" spans="1:20" s="12" customFormat="1" ht="12.75" customHeight="1" x14ac:dyDescent="0.3">
      <c r="A10">
        <v>9</v>
      </c>
      <c r="B10" s="14" t="s">
        <v>1057</v>
      </c>
      <c r="C10" s="13" t="s">
        <v>13</v>
      </c>
      <c r="D10" s="17">
        <v>3494244594</v>
      </c>
      <c r="E10" s="51">
        <v>45644</v>
      </c>
      <c r="F10" s="126" t="s">
        <v>1018</v>
      </c>
      <c r="G10" s="46">
        <v>90</v>
      </c>
      <c r="H10" s="46">
        <v>821.21</v>
      </c>
      <c r="I10" s="20">
        <v>0</v>
      </c>
      <c r="J10" s="46">
        <v>864164.02</v>
      </c>
      <c r="K10" s="24" t="s">
        <v>990</v>
      </c>
      <c r="L10" s="19" t="s">
        <v>1010</v>
      </c>
      <c r="M10" s="19" t="s">
        <v>1010</v>
      </c>
      <c r="N10" s="56">
        <v>45698</v>
      </c>
      <c r="O10" s="56">
        <v>45726</v>
      </c>
      <c r="P10" s="55">
        <v>45712</v>
      </c>
      <c r="Q10" s="18">
        <v>1246</v>
      </c>
      <c r="R10" t="str">
        <f t="shared" si="0"/>
        <v>Cerrado</v>
      </c>
      <c r="S10" t="s">
        <v>995</v>
      </c>
      <c r="T10"/>
    </row>
    <row r="11" spans="1:20" s="12" customFormat="1" ht="12.75" customHeight="1" x14ac:dyDescent="0.3">
      <c r="A11">
        <v>10</v>
      </c>
      <c r="B11" s="12" t="s">
        <v>1060</v>
      </c>
      <c r="C11" s="13" t="s">
        <v>15</v>
      </c>
      <c r="D11" s="60" t="s">
        <v>16</v>
      </c>
      <c r="E11" s="61">
        <v>45644</v>
      </c>
      <c r="F11" s="124" t="s">
        <v>1024</v>
      </c>
      <c r="G11" s="62">
        <v>80</v>
      </c>
      <c r="H11" s="62">
        <v>125</v>
      </c>
      <c r="I11" s="20">
        <v>0</v>
      </c>
      <c r="J11" s="62">
        <v>122.79</v>
      </c>
      <c r="K11" s="66" t="s">
        <v>991</v>
      </c>
      <c r="L11" s="64" t="s">
        <v>1010</v>
      </c>
      <c r="M11" s="64" t="s">
        <v>1010</v>
      </c>
      <c r="N11" s="65">
        <v>45761</v>
      </c>
      <c r="O11" s="61">
        <v>45787</v>
      </c>
      <c r="P11" s="65">
        <v>45831</v>
      </c>
      <c r="Q11" s="12">
        <v>1267</v>
      </c>
      <c r="R11" t="str">
        <f t="shared" si="0"/>
        <v>Cerrado</v>
      </c>
      <c r="S11" t="s">
        <v>995</v>
      </c>
      <c r="T11"/>
    </row>
    <row r="12" spans="1:20" s="12" customFormat="1" ht="12.75" customHeight="1" x14ac:dyDescent="0.3">
      <c r="A12">
        <v>11</v>
      </c>
      <c r="B12" s="14" t="s">
        <v>1059</v>
      </c>
      <c r="C12" s="13" t="s">
        <v>17</v>
      </c>
      <c r="D12" s="15" t="s">
        <v>18</v>
      </c>
      <c r="E12" s="50">
        <v>45649</v>
      </c>
      <c r="F12" s="125" t="s">
        <v>1018</v>
      </c>
      <c r="G12" s="45">
        <v>70</v>
      </c>
      <c r="H12" s="45">
        <v>57.53</v>
      </c>
      <c r="I12" s="20">
        <v>0</v>
      </c>
      <c r="J12" s="45">
        <v>60637.98</v>
      </c>
      <c r="K12" s="30" t="s">
        <v>990</v>
      </c>
      <c r="L12" s="16" t="s">
        <v>1010</v>
      </c>
      <c r="M12" s="16" t="s">
        <v>1010</v>
      </c>
      <c r="N12" s="55">
        <v>45698</v>
      </c>
      <c r="O12" s="55">
        <v>45726</v>
      </c>
      <c r="P12" s="55">
        <v>45768</v>
      </c>
      <c r="Q12" s="14">
        <v>1249</v>
      </c>
      <c r="R12" t="str">
        <f t="shared" si="0"/>
        <v>Cerrado</v>
      </c>
      <c r="S12" t="s">
        <v>995</v>
      </c>
      <c r="T12"/>
    </row>
    <row r="13" spans="1:20" s="12" customFormat="1" ht="15" customHeight="1" x14ac:dyDescent="0.3">
      <c r="A13">
        <v>12</v>
      </c>
      <c r="B13" s="14" t="s">
        <v>1057</v>
      </c>
      <c r="C13" s="13" t="s">
        <v>19</v>
      </c>
      <c r="D13" s="60">
        <v>1607782446</v>
      </c>
      <c r="E13" s="50">
        <v>45652</v>
      </c>
      <c r="F13" s="125" t="s">
        <v>1013</v>
      </c>
      <c r="G13" s="45">
        <v>90</v>
      </c>
      <c r="H13" s="45">
        <v>658.32</v>
      </c>
      <c r="I13" s="67">
        <v>0</v>
      </c>
      <c r="J13" s="45">
        <v>685.32</v>
      </c>
      <c r="K13" s="23" t="s">
        <v>989</v>
      </c>
      <c r="L13" s="16" t="s">
        <v>1010</v>
      </c>
      <c r="M13" s="16" t="s">
        <v>1010</v>
      </c>
      <c r="N13" s="55">
        <v>45789</v>
      </c>
      <c r="O13" s="55">
        <v>45818</v>
      </c>
      <c r="P13" s="55">
        <v>45833</v>
      </c>
      <c r="Q13" s="14">
        <v>1282</v>
      </c>
      <c r="R13" t="str">
        <f t="shared" si="0"/>
        <v>Cerrado</v>
      </c>
      <c r="S13" s="12" t="s">
        <v>995</v>
      </c>
    </row>
    <row r="14" spans="1:20" s="1" customFormat="1" ht="15" customHeight="1" x14ac:dyDescent="0.3">
      <c r="A14">
        <v>13</v>
      </c>
      <c r="B14" s="14" t="s">
        <v>1061</v>
      </c>
      <c r="C14" s="13" t="s">
        <v>21</v>
      </c>
      <c r="D14" s="60" t="s">
        <v>22</v>
      </c>
      <c r="E14" s="50">
        <v>45652</v>
      </c>
      <c r="F14" s="125" t="s">
        <v>1018</v>
      </c>
      <c r="G14" s="45">
        <v>0</v>
      </c>
      <c r="H14" s="45">
        <v>96.91</v>
      </c>
      <c r="I14" s="67">
        <v>0</v>
      </c>
      <c r="J14" s="45">
        <v>96.91</v>
      </c>
      <c r="K14" s="30" t="s">
        <v>989</v>
      </c>
      <c r="L14" s="16" t="s">
        <v>1010</v>
      </c>
      <c r="M14" s="16" t="s">
        <v>1010</v>
      </c>
      <c r="N14" s="55">
        <v>45698</v>
      </c>
      <c r="O14" s="55">
        <v>45726</v>
      </c>
      <c r="P14" s="55">
        <v>45867</v>
      </c>
      <c r="Q14" s="14">
        <v>1272</v>
      </c>
      <c r="R14" t="str">
        <f t="shared" si="0"/>
        <v>Cerrado</v>
      </c>
      <c r="S14" s="12" t="s">
        <v>995</v>
      </c>
      <c r="T14" s="14" t="s">
        <v>23</v>
      </c>
    </row>
    <row r="15" spans="1:20" s="12" customFormat="1" ht="15" customHeight="1" x14ac:dyDescent="0.3">
      <c r="A15">
        <v>14</v>
      </c>
      <c r="B15" s="14" t="s">
        <v>1059</v>
      </c>
      <c r="C15" s="13" t="s">
        <v>24</v>
      </c>
      <c r="D15" s="60" t="s">
        <v>25</v>
      </c>
      <c r="E15" s="50">
        <v>45652</v>
      </c>
      <c r="F15" s="125" t="s">
        <v>1050</v>
      </c>
      <c r="G15" s="45">
        <v>80</v>
      </c>
      <c r="H15" s="45">
        <v>353.06</v>
      </c>
      <c r="I15" s="20">
        <v>0</v>
      </c>
      <c r="J15" s="45">
        <v>353.06</v>
      </c>
      <c r="K15" s="30" t="s">
        <v>989</v>
      </c>
      <c r="L15" s="16" t="s">
        <v>1010</v>
      </c>
      <c r="M15" s="16" t="s">
        <v>1010</v>
      </c>
      <c r="N15" s="55">
        <v>45698</v>
      </c>
      <c r="O15" s="55">
        <v>45726</v>
      </c>
      <c r="P15" s="55">
        <v>45768</v>
      </c>
      <c r="Q15" s="14">
        <v>1250</v>
      </c>
      <c r="R15" t="str">
        <f t="shared" si="0"/>
        <v>Cerrado</v>
      </c>
      <c r="S15" t="s">
        <v>995</v>
      </c>
      <c r="T15"/>
    </row>
    <row r="16" spans="1:20" s="1" customFormat="1" ht="12.75" customHeight="1" x14ac:dyDescent="0.3">
      <c r="A16">
        <v>15</v>
      </c>
      <c r="B16" s="1" t="s">
        <v>1057</v>
      </c>
      <c r="C16" s="1" t="s">
        <v>12</v>
      </c>
      <c r="D16" s="69">
        <v>1590016705</v>
      </c>
      <c r="E16" s="70">
        <v>45653</v>
      </c>
      <c r="F16" s="127" t="s">
        <v>1013</v>
      </c>
      <c r="G16" s="71">
        <v>90</v>
      </c>
      <c r="H16" s="71">
        <v>30</v>
      </c>
      <c r="I16" s="20">
        <v>0</v>
      </c>
      <c r="J16" s="71">
        <v>30</v>
      </c>
      <c r="K16" s="72" t="s">
        <v>989</v>
      </c>
      <c r="L16" s="73" t="s">
        <v>1009</v>
      </c>
      <c r="M16" s="73" t="s">
        <v>1010</v>
      </c>
      <c r="N16" s="74">
        <v>45666</v>
      </c>
      <c r="O16" s="74">
        <v>45698</v>
      </c>
      <c r="P16" s="74"/>
      <c r="Q16" s="1">
        <v>1238</v>
      </c>
      <c r="R16" t="str">
        <f t="shared" si="0"/>
        <v>Abierto</v>
      </c>
      <c r="S16" t="s">
        <v>994</v>
      </c>
      <c r="T16"/>
    </row>
    <row r="17" spans="1:20" ht="12.75" customHeight="1" x14ac:dyDescent="0.3">
      <c r="A17">
        <v>16</v>
      </c>
      <c r="B17" s="14" t="s">
        <v>1061</v>
      </c>
      <c r="C17" s="13" t="s">
        <v>26</v>
      </c>
      <c r="D17" s="15" t="s">
        <v>22</v>
      </c>
      <c r="E17" s="50">
        <v>45655</v>
      </c>
      <c r="F17" s="125" t="s">
        <v>1018</v>
      </c>
      <c r="G17" s="45">
        <v>70</v>
      </c>
      <c r="H17" s="45">
        <v>0</v>
      </c>
      <c r="I17" s="67">
        <v>0</v>
      </c>
      <c r="J17" s="45">
        <v>0</v>
      </c>
      <c r="K17" s="30" t="s">
        <v>989</v>
      </c>
      <c r="L17" s="16" t="s">
        <v>1009</v>
      </c>
      <c r="M17" s="16" t="s">
        <v>1009</v>
      </c>
      <c r="N17" s="55">
        <v>45698</v>
      </c>
      <c r="O17" s="55">
        <v>45726</v>
      </c>
      <c r="P17" s="55">
        <v>45867</v>
      </c>
      <c r="Q17" s="14">
        <v>1252</v>
      </c>
      <c r="R17" t="str">
        <f t="shared" si="0"/>
        <v>Cerrado</v>
      </c>
      <c r="S17" s="12" t="s">
        <v>995</v>
      </c>
      <c r="T17" s="12"/>
    </row>
    <row r="18" spans="1:20" s="12" customFormat="1" ht="12.75" customHeight="1" x14ac:dyDescent="0.3">
      <c r="A18">
        <v>17</v>
      </c>
      <c r="B18" s="12" t="s">
        <v>1060</v>
      </c>
      <c r="C18" s="12" t="s">
        <v>27</v>
      </c>
      <c r="D18" s="60" t="s">
        <v>28</v>
      </c>
      <c r="E18" s="61">
        <v>45656</v>
      </c>
      <c r="F18" s="128" t="s">
        <v>1023</v>
      </c>
      <c r="G18" s="62">
        <v>80</v>
      </c>
      <c r="H18" s="62">
        <v>321.86</v>
      </c>
      <c r="I18" s="67">
        <v>0</v>
      </c>
      <c r="J18" s="62">
        <v>321.86</v>
      </c>
      <c r="K18" s="63" t="s">
        <v>989</v>
      </c>
      <c r="L18" s="64" t="s">
        <v>1010</v>
      </c>
      <c r="M18" s="64" t="s">
        <v>1010</v>
      </c>
      <c r="N18" s="65">
        <v>45848</v>
      </c>
      <c r="O18" s="65">
        <v>45879</v>
      </c>
      <c r="P18" s="65">
        <v>45888</v>
      </c>
      <c r="Q18" s="12">
        <v>1317</v>
      </c>
      <c r="R18" t="str">
        <f t="shared" si="0"/>
        <v>Cerrado</v>
      </c>
      <c r="S18" s="12" t="s">
        <v>995</v>
      </c>
    </row>
    <row r="19" spans="1:20" s="12" customFormat="1" ht="12.75" customHeight="1" x14ac:dyDescent="0.3">
      <c r="A19">
        <v>18</v>
      </c>
      <c r="B19" s="14" t="s">
        <v>1057</v>
      </c>
      <c r="C19" s="13" t="s">
        <v>29</v>
      </c>
      <c r="D19" s="60">
        <v>1326993525</v>
      </c>
      <c r="E19" s="50">
        <v>45658</v>
      </c>
      <c r="F19" s="125" t="s">
        <v>1013</v>
      </c>
      <c r="G19" s="45">
        <v>90</v>
      </c>
      <c r="H19" s="45">
        <v>2354.77</v>
      </c>
      <c r="I19" s="20">
        <v>90</v>
      </c>
      <c r="J19" s="45">
        <v>2354.77</v>
      </c>
      <c r="K19" s="23" t="s">
        <v>989</v>
      </c>
      <c r="L19" s="16" t="s">
        <v>1010</v>
      </c>
      <c r="M19" s="16" t="s">
        <v>1010</v>
      </c>
      <c r="N19" s="56">
        <v>45698</v>
      </c>
      <c r="O19" s="56">
        <v>45726</v>
      </c>
      <c r="P19" s="55">
        <v>45712</v>
      </c>
      <c r="Q19" s="14">
        <v>1248</v>
      </c>
      <c r="R19" t="str">
        <f t="shared" si="0"/>
        <v>Cerrado</v>
      </c>
      <c r="S19" t="s">
        <v>995</v>
      </c>
      <c r="T19"/>
    </row>
    <row r="20" spans="1:20" s="12" customFormat="1" ht="12.75" customHeight="1" x14ac:dyDescent="0.3">
      <c r="A20">
        <v>19</v>
      </c>
      <c r="B20" s="14" t="s">
        <v>1057</v>
      </c>
      <c r="C20" s="13" t="s">
        <v>30</v>
      </c>
      <c r="D20" s="60">
        <v>3685494978</v>
      </c>
      <c r="E20" s="50">
        <v>45660</v>
      </c>
      <c r="F20" s="125" t="s">
        <v>1013</v>
      </c>
      <c r="G20" s="45">
        <v>90</v>
      </c>
      <c r="H20" s="45">
        <v>78</v>
      </c>
      <c r="I20" s="67">
        <v>0</v>
      </c>
      <c r="J20" s="45">
        <v>78</v>
      </c>
      <c r="K20" s="23" t="s">
        <v>989</v>
      </c>
      <c r="L20" s="16" t="s">
        <v>1009</v>
      </c>
      <c r="M20" s="16" t="s">
        <v>1010</v>
      </c>
      <c r="N20" s="55">
        <v>45723</v>
      </c>
      <c r="O20" s="55">
        <v>45757</v>
      </c>
      <c r="P20" s="55">
        <v>45833</v>
      </c>
      <c r="Q20" s="29">
        <v>1257</v>
      </c>
      <c r="R20" t="str">
        <f t="shared" si="0"/>
        <v>Cerrado</v>
      </c>
      <c r="S20" s="12" t="s">
        <v>995</v>
      </c>
    </row>
    <row r="21" spans="1:20" s="1" customFormat="1" ht="12.75" customHeight="1" x14ac:dyDescent="0.3">
      <c r="A21">
        <v>20</v>
      </c>
      <c r="B21" s="8" t="s">
        <v>1057</v>
      </c>
      <c r="C21" s="8" t="s">
        <v>31</v>
      </c>
      <c r="D21" s="9" t="s">
        <v>1011</v>
      </c>
      <c r="E21" s="52">
        <v>45661</v>
      </c>
      <c r="F21" s="129" t="s">
        <v>1014</v>
      </c>
      <c r="G21" s="47">
        <v>0</v>
      </c>
      <c r="H21" s="47">
        <v>0</v>
      </c>
      <c r="I21" s="20">
        <v>0</v>
      </c>
      <c r="J21" s="47">
        <v>0</v>
      </c>
      <c r="K21" s="26" t="s">
        <v>989</v>
      </c>
      <c r="L21" s="10" t="s">
        <v>1009</v>
      </c>
      <c r="M21" s="10" t="s">
        <v>1009</v>
      </c>
      <c r="N21" s="57"/>
      <c r="O21" s="57"/>
      <c r="P21" s="57"/>
      <c r="Q21" s="8"/>
      <c r="R21" t="str">
        <f t="shared" si="0"/>
        <v>Cerrado</v>
      </c>
      <c r="S21" t="s">
        <v>993</v>
      </c>
      <c r="T21"/>
    </row>
    <row r="22" spans="1:20" ht="12.75" customHeight="1" x14ac:dyDescent="0.3">
      <c r="A22">
        <v>21</v>
      </c>
      <c r="B22" s="12" t="s">
        <v>1061</v>
      </c>
      <c r="C22" s="12" t="s">
        <v>32</v>
      </c>
      <c r="D22" s="60" t="s">
        <v>33</v>
      </c>
      <c r="E22" s="61">
        <v>45665</v>
      </c>
      <c r="F22" s="128" t="s">
        <v>1016</v>
      </c>
      <c r="G22" s="62">
        <v>80</v>
      </c>
      <c r="H22" s="62">
        <v>560</v>
      </c>
      <c r="I22" s="20">
        <v>0</v>
      </c>
      <c r="J22" s="62">
        <v>560</v>
      </c>
      <c r="K22" s="66" t="s">
        <v>989</v>
      </c>
      <c r="L22" s="64" t="s">
        <v>1010</v>
      </c>
      <c r="M22" s="64" t="s">
        <v>1010</v>
      </c>
      <c r="N22" s="55">
        <v>45723</v>
      </c>
      <c r="O22" s="55">
        <v>45757</v>
      </c>
      <c r="P22" s="65"/>
      <c r="Q22" s="12">
        <v>1263</v>
      </c>
      <c r="R22" t="str">
        <f t="shared" si="0"/>
        <v>Cerrado</v>
      </c>
      <c r="S22" t="s">
        <v>995</v>
      </c>
    </row>
    <row r="23" spans="1:20" ht="12.75" customHeight="1" x14ac:dyDescent="0.3">
      <c r="A23">
        <v>22</v>
      </c>
      <c r="B23" s="11" t="s">
        <v>1062</v>
      </c>
      <c r="C23" s="11" t="s">
        <v>35</v>
      </c>
      <c r="D23" s="116" t="s">
        <v>1011</v>
      </c>
      <c r="E23" s="75">
        <v>45666</v>
      </c>
      <c r="F23" s="130" t="s">
        <v>1015</v>
      </c>
      <c r="G23" s="76">
        <v>0</v>
      </c>
      <c r="H23" s="76">
        <v>0</v>
      </c>
      <c r="I23" s="20">
        <v>0</v>
      </c>
      <c r="J23" s="76">
        <v>0</v>
      </c>
      <c r="K23" s="77" t="s">
        <v>989</v>
      </c>
      <c r="L23" s="78" t="s">
        <v>1009</v>
      </c>
      <c r="M23" s="78" t="s">
        <v>1009</v>
      </c>
      <c r="N23" s="79"/>
      <c r="O23" s="79"/>
      <c r="P23" s="79"/>
      <c r="Q23" s="11"/>
      <c r="R23" t="str">
        <f t="shared" si="0"/>
        <v>Cerrado</v>
      </c>
      <c r="S23" t="s">
        <v>993</v>
      </c>
    </row>
    <row r="24" spans="1:20" ht="12.75" customHeight="1" x14ac:dyDescent="0.3">
      <c r="A24">
        <v>23</v>
      </c>
      <c r="B24" s="1" t="s">
        <v>1062</v>
      </c>
      <c r="C24" s="1" t="s">
        <v>36</v>
      </c>
      <c r="D24" s="38" t="s">
        <v>37</v>
      </c>
      <c r="E24" s="70">
        <v>45668</v>
      </c>
      <c r="F24" s="127" t="s">
        <v>1013</v>
      </c>
      <c r="G24" s="71">
        <v>50</v>
      </c>
      <c r="H24" s="71">
        <v>0</v>
      </c>
      <c r="I24" s="81">
        <v>0</v>
      </c>
      <c r="J24" s="71">
        <v>0</v>
      </c>
      <c r="K24" s="80" t="s">
        <v>989</v>
      </c>
      <c r="L24" s="73" t="s">
        <v>1009</v>
      </c>
      <c r="M24" s="73" t="s">
        <v>1009</v>
      </c>
      <c r="N24" s="74">
        <v>45805</v>
      </c>
      <c r="O24" s="74">
        <v>45818</v>
      </c>
      <c r="P24" s="74"/>
      <c r="Q24" s="1">
        <v>1293</v>
      </c>
      <c r="R24" t="str">
        <f t="shared" si="0"/>
        <v>Abierto</v>
      </c>
      <c r="S24" s="1" t="s">
        <v>994</v>
      </c>
      <c r="T24" s="1"/>
    </row>
    <row r="25" spans="1:20" x14ac:dyDescent="0.3">
      <c r="A25">
        <v>24</v>
      </c>
      <c r="B25" s="12" t="s">
        <v>1057</v>
      </c>
      <c r="C25" s="12" t="s">
        <v>38</v>
      </c>
      <c r="D25" s="60">
        <v>1661969032</v>
      </c>
      <c r="E25" s="82">
        <v>45669</v>
      </c>
      <c r="F25" s="128" t="s">
        <v>1017</v>
      </c>
      <c r="G25" s="62">
        <v>90</v>
      </c>
      <c r="H25" s="62">
        <v>91.2</v>
      </c>
      <c r="I25" s="67">
        <v>0</v>
      </c>
      <c r="J25" s="62">
        <v>91.2</v>
      </c>
      <c r="K25" s="63" t="s">
        <v>989</v>
      </c>
      <c r="L25" s="64" t="s">
        <v>1009</v>
      </c>
      <c r="M25" s="64" t="s">
        <v>1010</v>
      </c>
      <c r="N25" s="55">
        <v>45789</v>
      </c>
      <c r="O25" s="55">
        <v>45818</v>
      </c>
      <c r="P25" s="55">
        <v>45833</v>
      </c>
      <c r="Q25" s="12">
        <v>1283</v>
      </c>
      <c r="R25" t="str">
        <f t="shared" si="0"/>
        <v>Cerrado</v>
      </c>
      <c r="S25" s="12" t="s">
        <v>995</v>
      </c>
      <c r="T25" s="12"/>
    </row>
    <row r="26" spans="1:20" ht="12.75" customHeight="1" x14ac:dyDescent="0.3">
      <c r="A26">
        <v>25</v>
      </c>
      <c r="B26" s="11" t="s">
        <v>1063</v>
      </c>
      <c r="C26" s="11" t="s">
        <v>40</v>
      </c>
      <c r="D26" s="9" t="s">
        <v>1011</v>
      </c>
      <c r="E26" s="75">
        <v>45669</v>
      </c>
      <c r="F26" s="130" t="s">
        <v>1021</v>
      </c>
      <c r="G26" s="76">
        <v>0</v>
      </c>
      <c r="H26" s="76">
        <v>0</v>
      </c>
      <c r="I26" s="20">
        <v>0</v>
      </c>
      <c r="J26" s="76">
        <v>0</v>
      </c>
      <c r="K26" s="77" t="s">
        <v>989</v>
      </c>
      <c r="L26" s="78" t="s">
        <v>1009</v>
      </c>
      <c r="M26" s="78" t="s">
        <v>1009</v>
      </c>
      <c r="N26" s="79"/>
      <c r="O26" s="79"/>
      <c r="P26" s="79"/>
      <c r="Q26" s="11"/>
      <c r="R26" t="str">
        <f t="shared" si="0"/>
        <v>Cerrado</v>
      </c>
      <c r="S26" t="s">
        <v>993</v>
      </c>
    </row>
    <row r="27" spans="1:20" s="12" customFormat="1" ht="12.75" customHeight="1" x14ac:dyDescent="0.3">
      <c r="A27">
        <v>26</v>
      </c>
      <c r="B27" s="8" t="s">
        <v>1059</v>
      </c>
      <c r="C27" s="11" t="s">
        <v>41</v>
      </c>
      <c r="D27" s="116" t="s">
        <v>1011</v>
      </c>
      <c r="E27" s="75">
        <v>45669</v>
      </c>
      <c r="F27" s="130" t="s">
        <v>1018</v>
      </c>
      <c r="G27" s="76">
        <v>0</v>
      </c>
      <c r="H27" s="76">
        <v>0</v>
      </c>
      <c r="I27" s="20">
        <v>0</v>
      </c>
      <c r="J27" s="76">
        <v>0</v>
      </c>
      <c r="K27" s="77" t="s">
        <v>989</v>
      </c>
      <c r="L27" s="78" t="s">
        <v>1009</v>
      </c>
      <c r="M27" s="78" t="s">
        <v>1009</v>
      </c>
      <c r="N27" s="79"/>
      <c r="O27" s="79"/>
      <c r="P27" s="79"/>
      <c r="Q27" s="11"/>
      <c r="R27" t="str">
        <f t="shared" si="0"/>
        <v>Cerrado</v>
      </c>
      <c r="S27" t="s">
        <v>993</v>
      </c>
      <c r="T27"/>
    </row>
    <row r="28" spans="1:20" ht="12.75" customHeight="1" x14ac:dyDescent="0.3">
      <c r="A28">
        <v>27</v>
      </c>
      <c r="B28" s="12" t="s">
        <v>1061</v>
      </c>
      <c r="C28" s="12" t="s">
        <v>42</v>
      </c>
      <c r="D28" s="60" t="s">
        <v>43</v>
      </c>
      <c r="E28" s="61">
        <v>45676</v>
      </c>
      <c r="F28" s="128" t="s">
        <v>1022</v>
      </c>
      <c r="G28" s="62">
        <v>80</v>
      </c>
      <c r="H28" s="62">
        <v>2015.17</v>
      </c>
      <c r="I28" s="20">
        <v>0</v>
      </c>
      <c r="J28" s="62">
        <v>2015.17</v>
      </c>
      <c r="K28" s="66" t="s">
        <v>989</v>
      </c>
      <c r="L28" s="64" t="s">
        <v>1010</v>
      </c>
      <c r="M28" s="64" t="s">
        <v>1010</v>
      </c>
      <c r="N28" s="55">
        <v>45723</v>
      </c>
      <c r="O28" s="55">
        <v>45757</v>
      </c>
      <c r="P28" s="65"/>
      <c r="Q28" s="12">
        <v>1264</v>
      </c>
      <c r="R28" t="str">
        <f t="shared" si="0"/>
        <v>Cerrado</v>
      </c>
      <c r="S28" t="s">
        <v>995</v>
      </c>
    </row>
    <row r="29" spans="1:20" s="12" customFormat="1" x14ac:dyDescent="0.3">
      <c r="A29">
        <v>28</v>
      </c>
      <c r="B29" s="12" t="s">
        <v>1060</v>
      </c>
      <c r="C29" s="12" t="s">
        <v>44</v>
      </c>
      <c r="D29" s="60" t="s">
        <v>45</v>
      </c>
      <c r="E29" s="61">
        <v>45679</v>
      </c>
      <c r="F29" s="128" t="s">
        <v>1023</v>
      </c>
      <c r="G29" s="62">
        <v>80</v>
      </c>
      <c r="H29" s="62">
        <v>471</v>
      </c>
      <c r="I29" s="67">
        <v>0</v>
      </c>
      <c r="J29" s="62">
        <v>681</v>
      </c>
      <c r="K29" s="66" t="s">
        <v>989</v>
      </c>
      <c r="L29" s="64" t="s">
        <v>1010</v>
      </c>
      <c r="M29" s="64" t="s">
        <v>1010</v>
      </c>
      <c r="N29" s="65">
        <v>45789</v>
      </c>
      <c r="O29" s="65">
        <v>45818</v>
      </c>
      <c r="P29" s="65">
        <v>45943</v>
      </c>
      <c r="Q29" s="66" t="s">
        <v>46</v>
      </c>
      <c r="R29" t="str">
        <f t="shared" si="0"/>
        <v>Cerrado</v>
      </c>
      <c r="S29" s="12" t="s">
        <v>995</v>
      </c>
    </row>
    <row r="30" spans="1:20" s="12" customFormat="1" x14ac:dyDescent="0.3">
      <c r="A30">
        <v>29</v>
      </c>
      <c r="B30" s="12" t="s">
        <v>1057</v>
      </c>
      <c r="C30" s="13" t="s">
        <v>47</v>
      </c>
      <c r="D30" s="60">
        <v>1003386418</v>
      </c>
      <c r="E30" s="61">
        <v>45680</v>
      </c>
      <c r="F30" s="128" t="s">
        <v>1024</v>
      </c>
      <c r="G30" s="62">
        <v>90</v>
      </c>
      <c r="H30" s="62">
        <v>143.29</v>
      </c>
      <c r="I30" s="67">
        <v>0</v>
      </c>
      <c r="J30" s="62">
        <v>162</v>
      </c>
      <c r="K30" s="63" t="s">
        <v>989</v>
      </c>
      <c r="L30" s="64" t="s">
        <v>1010</v>
      </c>
      <c r="M30" s="64" t="s">
        <v>1010</v>
      </c>
      <c r="N30" s="65">
        <v>45910</v>
      </c>
      <c r="O30" s="65">
        <v>45940</v>
      </c>
      <c r="P30" s="65">
        <v>45954</v>
      </c>
      <c r="Q30" s="12">
        <v>1341</v>
      </c>
      <c r="R30" t="str">
        <f t="shared" si="0"/>
        <v>Cerrado</v>
      </c>
      <c r="S30" s="12" t="s">
        <v>995</v>
      </c>
    </row>
    <row r="31" spans="1:20" s="12" customFormat="1" x14ac:dyDescent="0.3">
      <c r="A31">
        <v>30</v>
      </c>
      <c r="B31" s="11" t="s">
        <v>1064</v>
      </c>
      <c r="C31" s="2" t="s">
        <v>48</v>
      </c>
      <c r="D31" s="9" t="s">
        <v>1011</v>
      </c>
      <c r="E31" s="75">
        <v>45680</v>
      </c>
      <c r="F31" s="130" t="s">
        <v>1018</v>
      </c>
      <c r="G31" s="76">
        <v>0</v>
      </c>
      <c r="H31" s="76">
        <v>0</v>
      </c>
      <c r="I31" s="20">
        <v>0</v>
      </c>
      <c r="J31" s="76">
        <v>0</v>
      </c>
      <c r="K31" s="77" t="s">
        <v>989</v>
      </c>
      <c r="L31" s="78" t="s">
        <v>1009</v>
      </c>
      <c r="M31" s="78" t="s">
        <v>1009</v>
      </c>
      <c r="N31" s="79"/>
      <c r="O31" s="79"/>
      <c r="P31" s="79"/>
      <c r="Q31" s="11"/>
      <c r="R31" t="str">
        <f t="shared" si="0"/>
        <v>Cerrado</v>
      </c>
      <c r="S31" t="s">
        <v>993</v>
      </c>
      <c r="T31"/>
    </row>
    <row r="32" spans="1:20" ht="12.75" customHeight="1" x14ac:dyDescent="0.3">
      <c r="A32">
        <v>31</v>
      </c>
      <c r="B32" s="12" t="s">
        <v>1057</v>
      </c>
      <c r="C32" s="13" t="s">
        <v>49</v>
      </c>
      <c r="D32" s="60">
        <v>2340215219</v>
      </c>
      <c r="E32" s="61">
        <v>45686</v>
      </c>
      <c r="F32" s="128" t="s">
        <v>1025</v>
      </c>
      <c r="G32" s="62">
        <v>90</v>
      </c>
      <c r="H32" s="62">
        <v>31.2</v>
      </c>
      <c r="I32" s="67">
        <v>0</v>
      </c>
      <c r="J32" s="62">
        <v>31.2</v>
      </c>
      <c r="K32" s="63" t="s">
        <v>989</v>
      </c>
      <c r="L32" s="64" t="s">
        <v>1009</v>
      </c>
      <c r="M32" s="64" t="s">
        <v>1010</v>
      </c>
      <c r="N32" s="55">
        <v>45723</v>
      </c>
      <c r="O32" s="55">
        <v>45757</v>
      </c>
      <c r="P32" s="65">
        <v>45833</v>
      </c>
      <c r="Q32" s="12">
        <v>1259</v>
      </c>
      <c r="R32" t="str">
        <f t="shared" si="0"/>
        <v>Cerrado</v>
      </c>
      <c r="S32" s="12" t="s">
        <v>995</v>
      </c>
      <c r="T32" s="12"/>
    </row>
    <row r="33" spans="1:20" x14ac:dyDescent="0.3">
      <c r="A33">
        <v>32</v>
      </c>
      <c r="B33" s="11" t="s">
        <v>1057</v>
      </c>
      <c r="C33" s="2" t="s">
        <v>50</v>
      </c>
      <c r="D33" s="9" t="s">
        <v>1011</v>
      </c>
      <c r="E33" s="75">
        <v>45689</v>
      </c>
      <c r="F33" s="130" t="s">
        <v>1026</v>
      </c>
      <c r="G33" s="76">
        <v>0</v>
      </c>
      <c r="H33" s="76">
        <v>0</v>
      </c>
      <c r="I33" s="20">
        <v>0</v>
      </c>
      <c r="J33" s="76">
        <v>0</v>
      </c>
      <c r="K33" s="84" t="s">
        <v>989</v>
      </c>
      <c r="L33" s="78" t="s">
        <v>1009</v>
      </c>
      <c r="M33" s="78" t="s">
        <v>1009</v>
      </c>
      <c r="N33" s="79"/>
      <c r="O33" s="79"/>
      <c r="P33" s="79"/>
      <c r="Q33" s="11"/>
      <c r="R33" t="str">
        <f t="shared" si="0"/>
        <v>Cerrado</v>
      </c>
      <c r="S33" t="s">
        <v>993</v>
      </c>
    </row>
    <row r="34" spans="1:20" x14ac:dyDescent="0.3">
      <c r="A34">
        <v>33</v>
      </c>
      <c r="B34" s="12" t="s">
        <v>1060</v>
      </c>
      <c r="C34" s="13" t="s">
        <v>51</v>
      </c>
      <c r="D34" s="60" t="s">
        <v>52</v>
      </c>
      <c r="E34" s="61">
        <v>45690</v>
      </c>
      <c r="F34" s="128" t="s">
        <v>1018</v>
      </c>
      <c r="G34" s="62">
        <v>70</v>
      </c>
      <c r="H34" s="62">
        <v>0</v>
      </c>
      <c r="I34" s="20">
        <v>0</v>
      </c>
      <c r="J34" s="62">
        <v>0</v>
      </c>
      <c r="K34" s="66" t="s">
        <v>989</v>
      </c>
      <c r="L34" s="64" t="s">
        <v>1009</v>
      </c>
      <c r="M34" s="64" t="s">
        <v>1009</v>
      </c>
      <c r="N34" s="55">
        <v>45723</v>
      </c>
      <c r="O34" s="55">
        <v>45757</v>
      </c>
      <c r="P34" s="65">
        <v>45764</v>
      </c>
      <c r="Q34" s="12">
        <v>1260</v>
      </c>
      <c r="R34" t="str">
        <f t="shared" si="0"/>
        <v>Cerrado</v>
      </c>
      <c r="S34" s="20" t="s">
        <v>995</v>
      </c>
    </row>
    <row r="35" spans="1:20" ht="15" customHeight="1" x14ac:dyDescent="0.3">
      <c r="A35">
        <v>34</v>
      </c>
      <c r="B35" s="2" t="s">
        <v>1063</v>
      </c>
      <c r="C35" s="11" t="s">
        <v>53</v>
      </c>
      <c r="D35" s="83" t="s">
        <v>54</v>
      </c>
      <c r="E35" s="75">
        <v>45692</v>
      </c>
      <c r="F35" s="130" t="s">
        <v>1020</v>
      </c>
      <c r="G35" s="76">
        <v>0</v>
      </c>
      <c r="H35" s="76">
        <v>0</v>
      </c>
      <c r="I35" s="20">
        <v>0</v>
      </c>
      <c r="J35" s="76">
        <v>0</v>
      </c>
      <c r="K35" s="77" t="s">
        <v>989</v>
      </c>
      <c r="L35" s="78" t="s">
        <v>1009</v>
      </c>
      <c r="M35" s="78" t="s">
        <v>1009</v>
      </c>
      <c r="N35" s="79"/>
      <c r="O35" s="79"/>
      <c r="P35" s="79"/>
      <c r="Q35" s="11"/>
      <c r="R35" t="str">
        <f t="shared" si="0"/>
        <v>Cerrado</v>
      </c>
      <c r="S35" t="s">
        <v>993</v>
      </c>
    </row>
    <row r="36" spans="1:20" x14ac:dyDescent="0.3">
      <c r="A36">
        <v>35</v>
      </c>
      <c r="B36" s="12" t="s">
        <v>1061</v>
      </c>
      <c r="C36" s="13" t="s">
        <v>55</v>
      </c>
      <c r="D36" s="60" t="s">
        <v>56</v>
      </c>
      <c r="E36" s="61">
        <v>45693</v>
      </c>
      <c r="F36" s="128" t="s">
        <v>1018</v>
      </c>
      <c r="G36" s="62">
        <v>70</v>
      </c>
      <c r="H36" s="62">
        <v>113</v>
      </c>
      <c r="I36" s="20">
        <v>0</v>
      </c>
      <c r="J36" s="62">
        <v>120000</v>
      </c>
      <c r="K36" s="66" t="s">
        <v>990</v>
      </c>
      <c r="L36" s="64" t="s">
        <v>1010</v>
      </c>
      <c r="M36" s="64" t="s">
        <v>1010</v>
      </c>
      <c r="N36" s="55">
        <v>45723</v>
      </c>
      <c r="O36" s="55">
        <v>45757</v>
      </c>
      <c r="P36" s="65"/>
      <c r="Q36" s="12">
        <v>1265</v>
      </c>
      <c r="R36" t="str">
        <f t="shared" si="0"/>
        <v>Cerrado</v>
      </c>
      <c r="S36" t="s">
        <v>995</v>
      </c>
    </row>
    <row r="37" spans="1:20" x14ac:dyDescent="0.3">
      <c r="A37">
        <v>36</v>
      </c>
      <c r="B37" s="12" t="s">
        <v>1060</v>
      </c>
      <c r="C37" s="13" t="s">
        <v>57</v>
      </c>
      <c r="D37" s="60" t="s">
        <v>58</v>
      </c>
      <c r="E37" s="61">
        <v>45694</v>
      </c>
      <c r="F37" s="128" t="s">
        <v>1018</v>
      </c>
      <c r="G37" s="62">
        <v>70</v>
      </c>
      <c r="H37" s="62">
        <v>0</v>
      </c>
      <c r="I37" s="81">
        <v>0</v>
      </c>
      <c r="J37" s="62">
        <v>0</v>
      </c>
      <c r="K37" s="66" t="s">
        <v>989</v>
      </c>
      <c r="L37" s="64" t="s">
        <v>1009</v>
      </c>
      <c r="M37" s="64" t="s">
        <v>1009</v>
      </c>
      <c r="N37" s="65">
        <v>45789</v>
      </c>
      <c r="O37" s="65">
        <v>45818</v>
      </c>
      <c r="P37" s="65">
        <v>45831</v>
      </c>
      <c r="Q37" s="12">
        <v>1277</v>
      </c>
      <c r="R37" t="str">
        <f t="shared" si="0"/>
        <v>Cerrado</v>
      </c>
      <c r="S37" s="1" t="s">
        <v>995</v>
      </c>
      <c r="T37" s="1"/>
    </row>
    <row r="38" spans="1:20" x14ac:dyDescent="0.3">
      <c r="A38">
        <v>37</v>
      </c>
      <c r="B38" s="11" t="s">
        <v>1060</v>
      </c>
      <c r="C38" s="2" t="s">
        <v>59</v>
      </c>
      <c r="D38" s="9" t="s">
        <v>1011</v>
      </c>
      <c r="E38" s="75">
        <v>45695</v>
      </c>
      <c r="F38" s="130" t="s">
        <v>1027</v>
      </c>
      <c r="G38" s="76">
        <v>0</v>
      </c>
      <c r="H38" s="76">
        <v>0</v>
      </c>
      <c r="I38" s="20">
        <v>0</v>
      </c>
      <c r="J38" s="76">
        <v>0</v>
      </c>
      <c r="K38" s="77" t="s">
        <v>989</v>
      </c>
      <c r="L38" s="10" t="s">
        <v>1009</v>
      </c>
      <c r="M38" s="10" t="s">
        <v>1009</v>
      </c>
      <c r="N38" s="79"/>
      <c r="O38" s="79"/>
      <c r="P38" s="79"/>
      <c r="Q38" s="11"/>
      <c r="R38" t="str">
        <f t="shared" si="0"/>
        <v>Cerrado</v>
      </c>
      <c r="S38" t="s">
        <v>993</v>
      </c>
    </row>
    <row r="39" spans="1:20" ht="15" customHeight="1" x14ac:dyDescent="0.3">
      <c r="A39">
        <v>38</v>
      </c>
      <c r="B39" s="12" t="s">
        <v>1061</v>
      </c>
      <c r="C39" s="13" t="s">
        <v>60</v>
      </c>
      <c r="D39" s="60" t="s">
        <v>61</v>
      </c>
      <c r="E39" s="61">
        <v>45698</v>
      </c>
      <c r="F39" s="128" t="s">
        <v>1018</v>
      </c>
      <c r="G39" s="62">
        <v>70</v>
      </c>
      <c r="H39" s="62">
        <v>86.29</v>
      </c>
      <c r="I39" s="67">
        <v>0</v>
      </c>
      <c r="J39" s="62">
        <v>86.29</v>
      </c>
      <c r="K39" s="66" t="s">
        <v>989</v>
      </c>
      <c r="L39" s="64" t="s">
        <v>1010</v>
      </c>
      <c r="M39" s="64" t="s">
        <v>1010</v>
      </c>
      <c r="N39" s="65">
        <v>45789</v>
      </c>
      <c r="O39" s="65">
        <v>45818</v>
      </c>
      <c r="P39" s="55">
        <v>45867</v>
      </c>
      <c r="Q39" s="12">
        <v>1279</v>
      </c>
      <c r="R39" t="str">
        <f t="shared" si="0"/>
        <v>Cerrado</v>
      </c>
      <c r="S39" s="12" t="s">
        <v>995</v>
      </c>
      <c r="T39" s="12"/>
    </row>
    <row r="40" spans="1:20" ht="15" customHeight="1" x14ac:dyDescent="0.3">
      <c r="A40">
        <v>39</v>
      </c>
      <c r="B40" s="11" t="s">
        <v>1062</v>
      </c>
      <c r="C40" s="2" t="s">
        <v>62</v>
      </c>
      <c r="D40" s="9" t="s">
        <v>1011</v>
      </c>
      <c r="E40" s="75">
        <v>45701</v>
      </c>
      <c r="F40" s="130" t="s">
        <v>1017</v>
      </c>
      <c r="G40" s="76">
        <v>0</v>
      </c>
      <c r="H40" s="76">
        <v>0</v>
      </c>
      <c r="I40" s="20">
        <v>0</v>
      </c>
      <c r="J40" s="76">
        <v>0</v>
      </c>
      <c r="K40" s="77" t="s">
        <v>989</v>
      </c>
      <c r="L40" s="78" t="s">
        <v>1009</v>
      </c>
      <c r="M40" s="10" t="s">
        <v>1009</v>
      </c>
      <c r="N40" s="79"/>
      <c r="O40" s="79"/>
      <c r="P40" s="79"/>
      <c r="Q40" s="11"/>
      <c r="R40" t="str">
        <f t="shared" si="0"/>
        <v>Cerrado</v>
      </c>
      <c r="S40" t="s">
        <v>993</v>
      </c>
    </row>
    <row r="41" spans="1:20" ht="15" customHeight="1" x14ac:dyDescent="0.3">
      <c r="A41">
        <v>40</v>
      </c>
      <c r="B41" s="11" t="s">
        <v>1066</v>
      </c>
      <c r="C41" s="2" t="s">
        <v>64</v>
      </c>
      <c r="D41" s="9" t="s">
        <v>1011</v>
      </c>
      <c r="E41" s="75">
        <v>45702</v>
      </c>
      <c r="F41" s="130" t="s">
        <v>1019</v>
      </c>
      <c r="G41" s="76">
        <v>0</v>
      </c>
      <c r="H41" s="76">
        <v>0</v>
      </c>
      <c r="I41" s="20">
        <v>0</v>
      </c>
      <c r="J41" s="76">
        <v>0</v>
      </c>
      <c r="K41" s="77" t="s">
        <v>989</v>
      </c>
      <c r="L41" s="78" t="s">
        <v>1009</v>
      </c>
      <c r="M41" s="10" t="s">
        <v>1009</v>
      </c>
      <c r="N41" s="79"/>
      <c r="O41" s="79"/>
      <c r="P41" s="79"/>
      <c r="Q41" s="11"/>
      <c r="R41" t="str">
        <f t="shared" si="0"/>
        <v>Cerrado</v>
      </c>
      <c r="S41" t="s">
        <v>993</v>
      </c>
    </row>
    <row r="42" spans="1:20" s="1" customFormat="1" ht="15" customHeight="1" x14ac:dyDescent="0.3">
      <c r="A42">
        <v>41</v>
      </c>
      <c r="B42" s="1" t="s">
        <v>1061</v>
      </c>
      <c r="C42" s="22" t="s">
        <v>65</v>
      </c>
      <c r="D42" s="69" t="s">
        <v>66</v>
      </c>
      <c r="E42" s="70">
        <v>45704</v>
      </c>
      <c r="F42" s="127" t="s">
        <v>1016</v>
      </c>
      <c r="G42" s="71">
        <v>250</v>
      </c>
      <c r="H42" s="71">
        <v>22385.67</v>
      </c>
      <c r="I42" s="153">
        <v>200</v>
      </c>
      <c r="J42" s="71" t="s">
        <v>1008</v>
      </c>
      <c r="K42" s="71" t="s">
        <v>989</v>
      </c>
      <c r="L42" s="73" t="s">
        <v>1010</v>
      </c>
      <c r="M42" s="73" t="s">
        <v>1010</v>
      </c>
      <c r="N42" s="74">
        <v>45805</v>
      </c>
      <c r="O42" s="74">
        <v>45818</v>
      </c>
      <c r="P42" s="74"/>
      <c r="Q42" s="1">
        <v>1292</v>
      </c>
      <c r="R42" t="str">
        <f t="shared" si="0"/>
        <v>Abierto</v>
      </c>
      <c r="S42" s="6" t="s">
        <v>994</v>
      </c>
      <c r="T42" t="s">
        <v>67</v>
      </c>
    </row>
    <row r="43" spans="1:20" s="1" customFormat="1" ht="15" customHeight="1" x14ac:dyDescent="0.3">
      <c r="A43">
        <v>42</v>
      </c>
      <c r="B43" s="12" t="s">
        <v>1060</v>
      </c>
      <c r="C43" s="13" t="s">
        <v>68</v>
      </c>
      <c r="D43" s="60" t="s">
        <v>69</v>
      </c>
      <c r="E43" s="61">
        <v>45707</v>
      </c>
      <c r="F43" s="128" t="s">
        <v>1016</v>
      </c>
      <c r="G43" s="62">
        <v>80</v>
      </c>
      <c r="H43" s="62">
        <v>210.08</v>
      </c>
      <c r="I43" s="20">
        <v>0</v>
      </c>
      <c r="J43" s="62">
        <v>210.08</v>
      </c>
      <c r="K43" s="66" t="s">
        <v>989</v>
      </c>
      <c r="L43" s="64" t="s">
        <v>1010</v>
      </c>
      <c r="M43" s="64" t="s">
        <v>1010</v>
      </c>
      <c r="N43" s="55">
        <v>45723</v>
      </c>
      <c r="O43" s="55">
        <v>45757</v>
      </c>
      <c r="P43" s="65">
        <v>45764</v>
      </c>
      <c r="Q43" s="12">
        <v>1261</v>
      </c>
      <c r="R43" t="str">
        <f t="shared" si="0"/>
        <v>Cerrado</v>
      </c>
      <c r="S43" t="s">
        <v>995</v>
      </c>
      <c r="T43"/>
    </row>
    <row r="44" spans="1:20" ht="15" customHeight="1" x14ac:dyDescent="0.3">
      <c r="A44">
        <v>43</v>
      </c>
      <c r="B44" s="11" t="s">
        <v>1057</v>
      </c>
      <c r="C44" s="2" t="s">
        <v>70</v>
      </c>
      <c r="D44" s="9" t="s">
        <v>1011</v>
      </c>
      <c r="E44" s="75">
        <v>45708</v>
      </c>
      <c r="F44" s="130" t="s">
        <v>1015</v>
      </c>
      <c r="G44" s="76">
        <v>0</v>
      </c>
      <c r="H44" s="76">
        <v>0</v>
      </c>
      <c r="I44" s="20">
        <v>0</v>
      </c>
      <c r="J44" s="76">
        <v>0</v>
      </c>
      <c r="K44" s="84" t="s">
        <v>989</v>
      </c>
      <c r="L44" s="78" t="s">
        <v>1009</v>
      </c>
      <c r="M44" s="78" t="s">
        <v>1009</v>
      </c>
      <c r="N44" s="79"/>
      <c r="O44" s="79"/>
      <c r="P44" s="79"/>
      <c r="Q44" s="11"/>
      <c r="R44" t="str">
        <f t="shared" si="0"/>
        <v>Cerrado</v>
      </c>
      <c r="S44" t="s">
        <v>993</v>
      </c>
    </row>
    <row r="45" spans="1:20" ht="15" customHeight="1" x14ac:dyDescent="0.3">
      <c r="A45">
        <v>44</v>
      </c>
      <c r="B45" s="11" t="s">
        <v>1062</v>
      </c>
      <c r="C45" s="2" t="s">
        <v>71</v>
      </c>
      <c r="D45" s="9" t="s">
        <v>1011</v>
      </c>
      <c r="E45" s="75">
        <v>45708</v>
      </c>
      <c r="F45" s="130" t="s">
        <v>1020</v>
      </c>
      <c r="G45" s="76">
        <v>0</v>
      </c>
      <c r="H45" s="76">
        <v>0</v>
      </c>
      <c r="I45" s="20">
        <v>0</v>
      </c>
      <c r="J45" s="76">
        <v>0</v>
      </c>
      <c r="K45" s="77" t="s">
        <v>989</v>
      </c>
      <c r="L45" s="78" t="s">
        <v>1009</v>
      </c>
      <c r="M45" s="78" t="s">
        <v>1009</v>
      </c>
      <c r="N45" s="79"/>
      <c r="O45" s="79"/>
      <c r="P45" s="79"/>
      <c r="Q45" s="11"/>
      <c r="R45" t="str">
        <f t="shared" si="0"/>
        <v>Cerrado</v>
      </c>
      <c r="S45" t="s">
        <v>993</v>
      </c>
    </row>
    <row r="46" spans="1:20" ht="15" customHeight="1" x14ac:dyDescent="0.3">
      <c r="A46">
        <v>45</v>
      </c>
      <c r="B46" s="12" t="s">
        <v>1061</v>
      </c>
      <c r="C46" s="13" t="s">
        <v>72</v>
      </c>
      <c r="D46" s="60" t="s">
        <v>73</v>
      </c>
      <c r="E46" s="61">
        <v>45709</v>
      </c>
      <c r="F46" s="128" t="s">
        <v>1018</v>
      </c>
      <c r="G46" s="62">
        <v>70</v>
      </c>
      <c r="H46" s="62">
        <v>98.62</v>
      </c>
      <c r="I46" s="67">
        <v>0</v>
      </c>
      <c r="J46" s="62">
        <v>98.62</v>
      </c>
      <c r="K46" s="66" t="s">
        <v>989</v>
      </c>
      <c r="L46" s="64" t="s">
        <v>1010</v>
      </c>
      <c r="M46" s="64" t="s">
        <v>1010</v>
      </c>
      <c r="N46" s="65">
        <v>45789</v>
      </c>
      <c r="O46" s="65">
        <v>45818</v>
      </c>
      <c r="P46" s="55">
        <v>45867</v>
      </c>
      <c r="Q46" s="12">
        <v>1280</v>
      </c>
      <c r="R46" t="str">
        <f t="shared" si="0"/>
        <v>Cerrado</v>
      </c>
      <c r="S46" s="12" t="s">
        <v>995</v>
      </c>
      <c r="T46" s="12"/>
    </row>
    <row r="47" spans="1:20" ht="15" customHeight="1" x14ac:dyDescent="0.3">
      <c r="A47">
        <v>46</v>
      </c>
      <c r="B47" s="11" t="s">
        <v>1057</v>
      </c>
      <c r="C47" s="2" t="s">
        <v>74</v>
      </c>
      <c r="D47" s="9" t="s">
        <v>1011</v>
      </c>
      <c r="E47" s="75">
        <v>45710</v>
      </c>
      <c r="F47" s="130" t="s">
        <v>1015</v>
      </c>
      <c r="G47" s="76">
        <v>0</v>
      </c>
      <c r="H47" s="76">
        <v>0</v>
      </c>
      <c r="I47" s="20">
        <v>0</v>
      </c>
      <c r="J47" s="76">
        <v>0</v>
      </c>
      <c r="K47" s="84" t="s">
        <v>989</v>
      </c>
      <c r="L47" s="78" t="s">
        <v>1009</v>
      </c>
      <c r="M47" s="78" t="s">
        <v>1009</v>
      </c>
      <c r="N47" s="79"/>
      <c r="O47" s="79"/>
      <c r="P47" s="79"/>
      <c r="Q47" s="11"/>
      <c r="R47" t="str">
        <f t="shared" si="0"/>
        <v>Cerrado</v>
      </c>
      <c r="S47" t="s">
        <v>993</v>
      </c>
    </row>
    <row r="48" spans="1:20" ht="15" customHeight="1" x14ac:dyDescent="0.3">
      <c r="A48">
        <v>47</v>
      </c>
      <c r="B48" s="11" t="s">
        <v>1062</v>
      </c>
      <c r="C48" s="2" t="s">
        <v>75</v>
      </c>
      <c r="D48" s="9" t="s">
        <v>1011</v>
      </c>
      <c r="E48" s="75">
        <v>45710</v>
      </c>
      <c r="F48" s="130" t="s">
        <v>1014</v>
      </c>
      <c r="G48" s="76">
        <v>0</v>
      </c>
      <c r="H48" s="76">
        <v>0</v>
      </c>
      <c r="I48" s="20">
        <v>0</v>
      </c>
      <c r="J48" s="76">
        <v>0</v>
      </c>
      <c r="K48" s="77" t="s">
        <v>989</v>
      </c>
      <c r="L48" s="78" t="s">
        <v>1009</v>
      </c>
      <c r="M48" s="78" t="s">
        <v>1009</v>
      </c>
      <c r="N48" s="79"/>
      <c r="O48" s="79"/>
      <c r="P48" s="79"/>
      <c r="Q48" s="11"/>
      <c r="R48" t="str">
        <f t="shared" si="0"/>
        <v>Cerrado</v>
      </c>
      <c r="S48" t="s">
        <v>993</v>
      </c>
    </row>
    <row r="49" spans="1:20" x14ac:dyDescent="0.3">
      <c r="A49">
        <v>48</v>
      </c>
      <c r="B49" s="11" t="s">
        <v>1060</v>
      </c>
      <c r="C49" s="2" t="s">
        <v>76</v>
      </c>
      <c r="D49" s="9" t="s">
        <v>1011</v>
      </c>
      <c r="E49" s="75">
        <v>45710</v>
      </c>
      <c r="F49" s="130" t="s">
        <v>1025</v>
      </c>
      <c r="G49" s="76">
        <v>0</v>
      </c>
      <c r="H49" s="76">
        <v>0</v>
      </c>
      <c r="I49" s="20">
        <v>0</v>
      </c>
      <c r="J49" s="76">
        <v>0</v>
      </c>
      <c r="K49" s="77" t="s">
        <v>989</v>
      </c>
      <c r="L49" s="78" t="s">
        <v>1009</v>
      </c>
      <c r="M49" s="78" t="s">
        <v>1009</v>
      </c>
      <c r="N49" s="79"/>
      <c r="O49" s="79"/>
      <c r="P49" s="79"/>
      <c r="Q49" s="11"/>
      <c r="R49" t="str">
        <f t="shared" si="0"/>
        <v>Cerrado</v>
      </c>
      <c r="S49" t="s">
        <v>993</v>
      </c>
    </row>
    <row r="50" spans="1:20" x14ac:dyDescent="0.3">
      <c r="A50">
        <v>49</v>
      </c>
      <c r="B50" s="1" t="s">
        <v>1062</v>
      </c>
      <c r="C50" s="22" t="s">
        <v>77</v>
      </c>
      <c r="D50" s="69" t="s">
        <v>78</v>
      </c>
      <c r="E50" s="70">
        <v>45713</v>
      </c>
      <c r="F50" s="127" t="s">
        <v>1021</v>
      </c>
      <c r="G50" s="71">
        <v>80</v>
      </c>
      <c r="H50" s="71" t="s">
        <v>79</v>
      </c>
      <c r="I50" s="81">
        <v>0</v>
      </c>
      <c r="J50" s="71" t="s">
        <v>79</v>
      </c>
      <c r="K50" s="80" t="s">
        <v>989</v>
      </c>
      <c r="L50" s="73" t="s">
        <v>1010</v>
      </c>
      <c r="M50" s="73" t="s">
        <v>1010</v>
      </c>
      <c r="N50" s="74">
        <v>45805</v>
      </c>
      <c r="O50" s="74">
        <v>45818</v>
      </c>
      <c r="P50" s="74"/>
      <c r="Q50" s="1">
        <v>1301</v>
      </c>
      <c r="R50" t="str">
        <f t="shared" si="0"/>
        <v>Abierto</v>
      </c>
      <c r="S50" s="1" t="s">
        <v>994</v>
      </c>
      <c r="T50" s="1"/>
    </row>
    <row r="51" spans="1:20" x14ac:dyDescent="0.3">
      <c r="A51">
        <v>50</v>
      </c>
      <c r="B51" s="11" t="s">
        <v>1062</v>
      </c>
      <c r="C51" s="2" t="s">
        <v>80</v>
      </c>
      <c r="D51" s="9" t="s">
        <v>1011</v>
      </c>
      <c r="E51" s="75">
        <v>45715</v>
      </c>
      <c r="F51" s="130" t="s">
        <v>1025</v>
      </c>
      <c r="G51" s="76">
        <v>0</v>
      </c>
      <c r="H51" s="76">
        <v>0</v>
      </c>
      <c r="I51" s="20">
        <v>0</v>
      </c>
      <c r="J51" s="76">
        <v>0</v>
      </c>
      <c r="K51" s="77" t="s">
        <v>989</v>
      </c>
      <c r="L51" s="10" t="s">
        <v>1009</v>
      </c>
      <c r="M51" s="10" t="s">
        <v>1009</v>
      </c>
      <c r="N51" s="79"/>
      <c r="O51" s="79"/>
      <c r="P51" s="79"/>
      <c r="Q51" s="11"/>
      <c r="R51" t="str">
        <f t="shared" si="0"/>
        <v>Cerrado</v>
      </c>
      <c r="S51" t="s">
        <v>993</v>
      </c>
    </row>
    <row r="52" spans="1:20" s="1" customFormat="1" x14ac:dyDescent="0.3">
      <c r="A52">
        <v>51</v>
      </c>
      <c r="B52" s="11" t="s">
        <v>1062</v>
      </c>
      <c r="C52" s="2" t="s">
        <v>81</v>
      </c>
      <c r="D52" s="9" t="s">
        <v>1011</v>
      </c>
      <c r="E52" s="75">
        <v>45717</v>
      </c>
      <c r="F52" s="130" t="s">
        <v>1028</v>
      </c>
      <c r="G52" s="76">
        <v>0</v>
      </c>
      <c r="H52" s="76">
        <v>0</v>
      </c>
      <c r="I52" s="59">
        <v>0</v>
      </c>
      <c r="J52" s="76">
        <v>0</v>
      </c>
      <c r="K52" s="77" t="s">
        <v>989</v>
      </c>
      <c r="L52" s="10" t="s">
        <v>1009</v>
      </c>
      <c r="M52" s="10" t="s">
        <v>1009</v>
      </c>
      <c r="N52" s="79"/>
      <c r="O52" s="79"/>
      <c r="P52" s="79"/>
      <c r="Q52" s="11"/>
      <c r="R52" t="str">
        <f t="shared" si="0"/>
        <v>Cerrado</v>
      </c>
      <c r="S52" s="21" t="s">
        <v>993</v>
      </c>
      <c r="T52" s="21"/>
    </row>
    <row r="53" spans="1:20" x14ac:dyDescent="0.3">
      <c r="A53">
        <v>52</v>
      </c>
      <c r="B53" s="11" t="s">
        <v>1062</v>
      </c>
      <c r="C53" s="2" t="s">
        <v>82</v>
      </c>
      <c r="D53" s="9" t="s">
        <v>1011</v>
      </c>
      <c r="E53" s="75">
        <v>45719</v>
      </c>
      <c r="F53" s="130" t="s">
        <v>1029</v>
      </c>
      <c r="G53" s="76">
        <v>0</v>
      </c>
      <c r="H53" s="76">
        <v>0</v>
      </c>
      <c r="I53" s="20">
        <v>0</v>
      </c>
      <c r="J53" s="76">
        <v>0</v>
      </c>
      <c r="K53" s="77" t="s">
        <v>989</v>
      </c>
      <c r="L53" s="10" t="s">
        <v>1009</v>
      </c>
      <c r="M53" s="10" t="s">
        <v>1009</v>
      </c>
      <c r="N53" s="79"/>
      <c r="O53" s="79"/>
      <c r="P53" s="79"/>
      <c r="Q53" s="11"/>
      <c r="R53" t="str">
        <f t="shared" si="0"/>
        <v>Cerrado</v>
      </c>
      <c r="S53" t="s">
        <v>993</v>
      </c>
    </row>
    <row r="54" spans="1:20" s="12" customFormat="1" ht="15" customHeight="1" x14ac:dyDescent="0.3">
      <c r="A54">
        <v>53</v>
      </c>
      <c r="B54" s="1" t="s">
        <v>1062</v>
      </c>
      <c r="C54" s="22" t="s">
        <v>83</v>
      </c>
      <c r="D54" s="117" t="s">
        <v>1011</v>
      </c>
      <c r="E54" s="70">
        <v>45721</v>
      </c>
      <c r="F54" s="127" t="s">
        <v>1015</v>
      </c>
      <c r="G54" s="71">
        <v>50</v>
      </c>
      <c r="H54" s="71">
        <v>0</v>
      </c>
      <c r="I54" s="81">
        <v>0</v>
      </c>
      <c r="J54" s="71">
        <v>0</v>
      </c>
      <c r="K54" s="80" t="s">
        <v>989</v>
      </c>
      <c r="L54" s="73" t="s">
        <v>1009</v>
      </c>
      <c r="M54" s="73" t="s">
        <v>1009</v>
      </c>
      <c r="N54" s="74">
        <v>45805</v>
      </c>
      <c r="O54" s="74">
        <v>45818</v>
      </c>
      <c r="P54" s="74"/>
      <c r="Q54" s="1">
        <v>1294</v>
      </c>
      <c r="R54" t="str">
        <f t="shared" si="0"/>
        <v>Abierto</v>
      </c>
      <c r="S54" s="1" t="s">
        <v>994</v>
      </c>
      <c r="T54" s="1"/>
    </row>
    <row r="55" spans="1:20" x14ac:dyDescent="0.3">
      <c r="A55">
        <v>54</v>
      </c>
      <c r="B55" s="12" t="s">
        <v>1060</v>
      </c>
      <c r="C55" s="13" t="s">
        <v>84</v>
      </c>
      <c r="D55" s="60" t="s">
        <v>85</v>
      </c>
      <c r="E55" s="61">
        <v>45722</v>
      </c>
      <c r="F55" s="128" t="s">
        <v>1018</v>
      </c>
      <c r="G55" s="62">
        <v>70</v>
      </c>
      <c r="H55" s="62">
        <v>86.15</v>
      </c>
      <c r="I55" s="67">
        <v>0</v>
      </c>
      <c r="J55" s="62" t="s">
        <v>1007</v>
      </c>
      <c r="K55" s="66" t="s">
        <v>989</v>
      </c>
      <c r="L55" s="64" t="s">
        <v>1010</v>
      </c>
      <c r="M55" s="64" t="s">
        <v>1010</v>
      </c>
      <c r="N55" s="65">
        <v>45789</v>
      </c>
      <c r="O55" s="65">
        <v>45818</v>
      </c>
      <c r="P55" s="65">
        <v>45856</v>
      </c>
      <c r="Q55" s="12">
        <v>1278</v>
      </c>
      <c r="R55" t="str">
        <f t="shared" si="0"/>
        <v>Cerrado</v>
      </c>
      <c r="S55" s="12" t="s">
        <v>995</v>
      </c>
      <c r="T55" s="12"/>
    </row>
    <row r="56" spans="1:20" x14ac:dyDescent="0.3">
      <c r="A56">
        <v>55</v>
      </c>
      <c r="B56" s="11" t="s">
        <v>1057</v>
      </c>
      <c r="C56" s="11" t="s">
        <v>86</v>
      </c>
      <c r="D56" s="9" t="s">
        <v>1011</v>
      </c>
      <c r="E56" s="75">
        <v>45722</v>
      </c>
      <c r="F56" s="130" t="s">
        <v>1030</v>
      </c>
      <c r="G56" s="76">
        <v>0</v>
      </c>
      <c r="H56" s="76">
        <v>0</v>
      </c>
      <c r="I56" s="20">
        <v>0</v>
      </c>
      <c r="J56" s="76">
        <v>0</v>
      </c>
      <c r="K56" s="84" t="s">
        <v>989</v>
      </c>
      <c r="L56" s="78" t="s">
        <v>1009</v>
      </c>
      <c r="M56" s="78" t="s">
        <v>1009</v>
      </c>
      <c r="N56" s="79"/>
      <c r="O56" s="79"/>
      <c r="P56" s="79"/>
      <c r="Q56" s="11"/>
      <c r="R56" t="str">
        <f t="shared" si="0"/>
        <v>Cerrado</v>
      </c>
      <c r="S56" t="s">
        <v>993</v>
      </c>
    </row>
    <row r="57" spans="1:20" s="1" customFormat="1" x14ac:dyDescent="0.3">
      <c r="A57">
        <v>56</v>
      </c>
      <c r="B57" s="12" t="s">
        <v>1060</v>
      </c>
      <c r="C57" s="13" t="s">
        <v>87</v>
      </c>
      <c r="D57" s="60" t="s">
        <v>88</v>
      </c>
      <c r="E57" s="61">
        <v>45725</v>
      </c>
      <c r="F57" s="128" t="s">
        <v>1024</v>
      </c>
      <c r="G57" s="62">
        <v>80</v>
      </c>
      <c r="H57" s="62">
        <v>0</v>
      </c>
      <c r="I57" s="20">
        <v>0</v>
      </c>
      <c r="J57" s="62">
        <v>0</v>
      </c>
      <c r="K57" s="66" t="s">
        <v>989</v>
      </c>
      <c r="L57" s="16" t="s">
        <v>1009</v>
      </c>
      <c r="M57" s="16" t="s">
        <v>1009</v>
      </c>
      <c r="N57" s="65">
        <v>45761</v>
      </c>
      <c r="O57" s="61">
        <v>45787</v>
      </c>
      <c r="P57" s="65">
        <v>45831</v>
      </c>
      <c r="Q57" s="12">
        <v>1268</v>
      </c>
      <c r="R57" t="str">
        <f t="shared" si="0"/>
        <v>Cerrado</v>
      </c>
      <c r="S57" t="s">
        <v>995</v>
      </c>
      <c r="T57"/>
    </row>
    <row r="58" spans="1:20" x14ac:dyDescent="0.3">
      <c r="A58">
        <v>57</v>
      </c>
      <c r="B58" s="22" t="s">
        <v>1062</v>
      </c>
      <c r="C58" s="22" t="s">
        <v>91</v>
      </c>
      <c r="D58" s="117" t="s">
        <v>1011</v>
      </c>
      <c r="E58" s="70">
        <v>45726</v>
      </c>
      <c r="F58" s="127" t="s">
        <v>1016</v>
      </c>
      <c r="G58" s="71">
        <v>50</v>
      </c>
      <c r="H58" s="71">
        <v>0</v>
      </c>
      <c r="I58" s="81">
        <v>0</v>
      </c>
      <c r="J58" s="71">
        <v>0</v>
      </c>
      <c r="K58" s="66" t="s">
        <v>989</v>
      </c>
      <c r="L58" s="121" t="s">
        <v>1009</v>
      </c>
      <c r="M58" s="121" t="s">
        <v>1009</v>
      </c>
      <c r="N58" s="74">
        <v>45805</v>
      </c>
      <c r="O58" s="74">
        <v>45818</v>
      </c>
      <c r="P58" s="74"/>
      <c r="Q58" s="1">
        <v>1295</v>
      </c>
      <c r="R58" t="str">
        <f t="shared" si="0"/>
        <v>Abierto</v>
      </c>
      <c r="S58" s="1" t="s">
        <v>994</v>
      </c>
      <c r="T58" s="1"/>
    </row>
    <row r="59" spans="1:20" s="1" customFormat="1" x14ac:dyDescent="0.3">
      <c r="A59">
        <v>58</v>
      </c>
      <c r="B59" s="12" t="s">
        <v>1061</v>
      </c>
      <c r="C59" s="13" t="s">
        <v>89</v>
      </c>
      <c r="D59" s="60" t="s">
        <v>90</v>
      </c>
      <c r="E59" s="61">
        <v>45726</v>
      </c>
      <c r="F59" s="128" t="s">
        <v>1018</v>
      </c>
      <c r="G59" s="62">
        <v>70</v>
      </c>
      <c r="H59" s="62">
        <v>544.61</v>
      </c>
      <c r="I59" s="67">
        <v>0</v>
      </c>
      <c r="J59" s="62" t="s">
        <v>1006</v>
      </c>
      <c r="K59" s="66" t="s">
        <v>989</v>
      </c>
      <c r="L59" s="64" t="s">
        <v>1010</v>
      </c>
      <c r="M59" s="64" t="s">
        <v>1010</v>
      </c>
      <c r="N59" s="65">
        <v>45789</v>
      </c>
      <c r="O59" s="65">
        <v>45818</v>
      </c>
      <c r="P59" s="65">
        <v>45867</v>
      </c>
      <c r="Q59" s="12">
        <v>1281</v>
      </c>
      <c r="R59" t="str">
        <f t="shared" si="0"/>
        <v>Cerrado</v>
      </c>
      <c r="S59" s="12" t="s">
        <v>995</v>
      </c>
      <c r="T59" s="12"/>
    </row>
    <row r="60" spans="1:20" x14ac:dyDescent="0.3">
      <c r="A60">
        <v>59</v>
      </c>
      <c r="B60" s="2" t="s">
        <v>1067</v>
      </c>
      <c r="C60" s="2" t="s">
        <v>93</v>
      </c>
      <c r="D60" s="83" t="s">
        <v>94</v>
      </c>
      <c r="E60" s="75">
        <v>45729</v>
      </c>
      <c r="F60" s="130" t="s">
        <v>1028</v>
      </c>
      <c r="G60" s="76">
        <v>0</v>
      </c>
      <c r="H60" s="76">
        <v>0</v>
      </c>
      <c r="I60" s="20">
        <v>0</v>
      </c>
      <c r="J60" s="76">
        <v>0</v>
      </c>
      <c r="K60" s="66" t="s">
        <v>989</v>
      </c>
      <c r="L60" s="10" t="s">
        <v>1009</v>
      </c>
      <c r="M60" s="10" t="s">
        <v>1009</v>
      </c>
      <c r="N60" s="79"/>
      <c r="O60" s="79"/>
      <c r="P60" s="79"/>
      <c r="Q60" s="11"/>
      <c r="R60" t="str">
        <f t="shared" si="0"/>
        <v>Cerrado</v>
      </c>
      <c r="S60" t="s">
        <v>993</v>
      </c>
    </row>
    <row r="61" spans="1:20" s="1" customFormat="1" x14ac:dyDescent="0.3">
      <c r="A61">
        <v>60</v>
      </c>
      <c r="B61" s="2" t="s">
        <v>1057</v>
      </c>
      <c r="C61" s="2" t="s">
        <v>95</v>
      </c>
      <c r="D61" s="9" t="s">
        <v>1011</v>
      </c>
      <c r="E61" s="75">
        <v>45729</v>
      </c>
      <c r="F61" s="130" t="s">
        <v>1015</v>
      </c>
      <c r="G61" s="76">
        <v>0</v>
      </c>
      <c r="H61" s="76">
        <v>0</v>
      </c>
      <c r="I61" s="20">
        <v>0</v>
      </c>
      <c r="J61" s="76">
        <v>0</v>
      </c>
      <c r="K61" s="66" t="s">
        <v>989</v>
      </c>
      <c r="L61" s="10" t="s">
        <v>1009</v>
      </c>
      <c r="M61" s="10" t="s">
        <v>1009</v>
      </c>
      <c r="N61" s="79"/>
      <c r="O61" s="79"/>
      <c r="P61" s="79"/>
      <c r="Q61" s="11"/>
      <c r="R61" t="str">
        <f t="shared" si="0"/>
        <v>Cerrado</v>
      </c>
      <c r="S61" t="s">
        <v>993</v>
      </c>
      <c r="T61"/>
    </row>
    <row r="62" spans="1:20" s="1" customFormat="1" x14ac:dyDescent="0.3">
      <c r="A62">
        <v>61</v>
      </c>
      <c r="B62" s="2" t="s">
        <v>1062</v>
      </c>
      <c r="C62" s="2" t="s">
        <v>96</v>
      </c>
      <c r="D62" s="9" t="s">
        <v>1011</v>
      </c>
      <c r="E62" s="75">
        <v>45729</v>
      </c>
      <c r="F62" s="130" t="s">
        <v>1031</v>
      </c>
      <c r="G62" s="76">
        <v>0</v>
      </c>
      <c r="H62" s="76">
        <v>0</v>
      </c>
      <c r="I62" s="20">
        <v>0</v>
      </c>
      <c r="J62" s="76">
        <v>0</v>
      </c>
      <c r="K62" s="66" t="s">
        <v>989</v>
      </c>
      <c r="L62" s="10" t="s">
        <v>1009</v>
      </c>
      <c r="M62" s="10" t="s">
        <v>1009</v>
      </c>
      <c r="N62" s="79"/>
      <c r="O62" s="79"/>
      <c r="P62" s="79"/>
      <c r="Q62" s="11"/>
      <c r="R62" t="str">
        <f t="shared" si="0"/>
        <v>Cerrado</v>
      </c>
      <c r="S62" t="s">
        <v>993</v>
      </c>
      <c r="T62"/>
    </row>
    <row r="63" spans="1:20" s="1" customFormat="1" x14ac:dyDescent="0.3">
      <c r="A63">
        <v>62</v>
      </c>
      <c r="B63" s="2" t="s">
        <v>1069</v>
      </c>
      <c r="C63" s="2" t="s">
        <v>97</v>
      </c>
      <c r="D63" s="9" t="s">
        <v>1011</v>
      </c>
      <c r="E63" s="75">
        <v>45729</v>
      </c>
      <c r="F63" s="130" t="s">
        <v>1028</v>
      </c>
      <c r="G63" s="76">
        <v>0</v>
      </c>
      <c r="H63" s="76">
        <v>0</v>
      </c>
      <c r="I63" s="20">
        <v>0</v>
      </c>
      <c r="J63" s="76">
        <v>0</v>
      </c>
      <c r="K63" s="66" t="s">
        <v>989</v>
      </c>
      <c r="L63" s="10" t="s">
        <v>1009</v>
      </c>
      <c r="M63" s="10" t="s">
        <v>1009</v>
      </c>
      <c r="N63" s="79"/>
      <c r="O63" s="79"/>
      <c r="P63" s="79"/>
      <c r="Q63" s="11"/>
      <c r="R63" t="str">
        <f t="shared" si="0"/>
        <v>Cerrado</v>
      </c>
      <c r="S63" t="s">
        <v>993</v>
      </c>
      <c r="T63"/>
    </row>
    <row r="64" spans="1:20" s="12" customFormat="1" ht="12.75" customHeight="1" x14ac:dyDescent="0.3">
      <c r="A64">
        <v>63</v>
      </c>
      <c r="B64" s="22" t="s">
        <v>1062</v>
      </c>
      <c r="C64" s="22" t="s">
        <v>98</v>
      </c>
      <c r="D64" s="39" t="s">
        <v>99</v>
      </c>
      <c r="E64" s="70">
        <v>45731</v>
      </c>
      <c r="F64" s="127" t="s">
        <v>1032</v>
      </c>
      <c r="G64" s="71">
        <v>50</v>
      </c>
      <c r="H64" s="71">
        <v>0</v>
      </c>
      <c r="I64" s="81">
        <v>0</v>
      </c>
      <c r="J64" s="71">
        <v>0</v>
      </c>
      <c r="K64" s="66" t="s">
        <v>989</v>
      </c>
      <c r="L64" s="73" t="s">
        <v>1009</v>
      </c>
      <c r="M64" s="73" t="s">
        <v>1009</v>
      </c>
      <c r="N64" s="74">
        <v>45805</v>
      </c>
      <c r="O64" s="74">
        <v>45818</v>
      </c>
      <c r="P64" s="74"/>
      <c r="Q64" s="1">
        <v>1296</v>
      </c>
      <c r="R64" t="str">
        <f t="shared" si="0"/>
        <v>Abierto</v>
      </c>
      <c r="S64" s="1" t="s">
        <v>994</v>
      </c>
      <c r="T64" s="1"/>
    </row>
    <row r="65" spans="1:20" s="1" customFormat="1" ht="15" customHeight="1" x14ac:dyDescent="0.3">
      <c r="A65">
        <v>64</v>
      </c>
      <c r="B65" s="13" t="s">
        <v>1060</v>
      </c>
      <c r="C65" s="13" t="s">
        <v>100</v>
      </c>
      <c r="D65" s="60" t="s">
        <v>101</v>
      </c>
      <c r="E65" s="61">
        <v>45734</v>
      </c>
      <c r="F65" s="128" t="s">
        <v>1024</v>
      </c>
      <c r="G65" s="62">
        <v>80</v>
      </c>
      <c r="H65" s="62">
        <v>0</v>
      </c>
      <c r="I65" s="67">
        <v>0</v>
      </c>
      <c r="J65" s="62">
        <v>0</v>
      </c>
      <c r="K65" s="66" t="s">
        <v>989</v>
      </c>
      <c r="L65" s="64" t="s">
        <v>1009</v>
      </c>
      <c r="M65" s="64" t="s">
        <v>1009</v>
      </c>
      <c r="N65" s="65">
        <v>45761</v>
      </c>
      <c r="O65" s="61">
        <v>45787</v>
      </c>
      <c r="P65" s="65">
        <v>45831</v>
      </c>
      <c r="Q65" s="12">
        <v>1269</v>
      </c>
      <c r="R65" t="str">
        <f t="shared" si="0"/>
        <v>Cerrado</v>
      </c>
      <c r="S65" s="12" t="s">
        <v>995</v>
      </c>
      <c r="T65" s="12"/>
    </row>
    <row r="66" spans="1:20" ht="12.75" customHeight="1" x14ac:dyDescent="0.3">
      <c r="A66">
        <v>65</v>
      </c>
      <c r="B66" s="22" t="s">
        <v>1062</v>
      </c>
      <c r="C66" s="22" t="s">
        <v>103</v>
      </c>
      <c r="D66" s="117" t="s">
        <v>1011</v>
      </c>
      <c r="E66" s="70">
        <v>45735</v>
      </c>
      <c r="F66" s="127" t="s">
        <v>1018</v>
      </c>
      <c r="G66" s="71">
        <v>50</v>
      </c>
      <c r="H66" s="71">
        <v>0</v>
      </c>
      <c r="I66" s="81">
        <v>0</v>
      </c>
      <c r="J66" s="71">
        <v>0</v>
      </c>
      <c r="K66" s="66" t="s">
        <v>989</v>
      </c>
      <c r="L66" s="73" t="s">
        <v>1009</v>
      </c>
      <c r="M66" s="73" t="s">
        <v>1009</v>
      </c>
      <c r="N66" s="74">
        <v>45805</v>
      </c>
      <c r="O66" s="74">
        <v>45818</v>
      </c>
      <c r="P66" s="74"/>
      <c r="Q66" s="1">
        <v>1297</v>
      </c>
      <c r="R66" t="str">
        <f t="shared" ref="R66:R129" si="1">IF(OR(S66="On Going", S66="Refacturado", S66="Para Refacturar"), "Abierto", IF(OR(S66="Cobrado", S66="No Fee"), "Cerrado", ""))</f>
        <v>Abierto</v>
      </c>
      <c r="S66" s="1" t="s">
        <v>994</v>
      </c>
      <c r="T66" s="1"/>
    </row>
    <row r="67" spans="1:20" ht="12.75" customHeight="1" x14ac:dyDescent="0.3">
      <c r="A67">
        <v>66</v>
      </c>
      <c r="B67" s="22" t="s">
        <v>1062</v>
      </c>
      <c r="C67" s="22" t="s">
        <v>104</v>
      </c>
      <c r="D67" s="117" t="s">
        <v>1011</v>
      </c>
      <c r="E67" s="70">
        <v>45735</v>
      </c>
      <c r="F67" s="127" t="s">
        <v>1017</v>
      </c>
      <c r="G67" s="71">
        <v>50</v>
      </c>
      <c r="H67" s="71">
        <v>0</v>
      </c>
      <c r="I67" s="81">
        <v>0</v>
      </c>
      <c r="J67" s="71">
        <v>0</v>
      </c>
      <c r="K67" s="66" t="s">
        <v>989</v>
      </c>
      <c r="L67" s="73" t="s">
        <v>1009</v>
      </c>
      <c r="M67" s="73" t="s">
        <v>1009</v>
      </c>
      <c r="N67" s="74">
        <v>45805</v>
      </c>
      <c r="O67" s="74">
        <v>45818</v>
      </c>
      <c r="P67" s="74"/>
      <c r="Q67" s="1">
        <v>1298</v>
      </c>
      <c r="R67" t="str">
        <f t="shared" si="1"/>
        <v>Abierto</v>
      </c>
      <c r="S67" s="1" t="s">
        <v>994</v>
      </c>
      <c r="T67" s="1"/>
    </row>
    <row r="68" spans="1:20" ht="12.75" customHeight="1" x14ac:dyDescent="0.3">
      <c r="A68">
        <v>67</v>
      </c>
      <c r="B68" s="13" t="s">
        <v>1057</v>
      </c>
      <c r="C68" s="13" t="s">
        <v>102</v>
      </c>
      <c r="D68" s="60">
        <v>1520173945</v>
      </c>
      <c r="E68" s="61">
        <v>45735</v>
      </c>
      <c r="F68" s="128" t="s">
        <v>1026</v>
      </c>
      <c r="G68" s="62">
        <v>180</v>
      </c>
      <c r="H68" s="62">
        <v>3208</v>
      </c>
      <c r="I68" s="67">
        <v>0</v>
      </c>
      <c r="J68" s="62">
        <v>3208</v>
      </c>
      <c r="K68" s="66" t="s">
        <v>989</v>
      </c>
      <c r="L68" s="64" t="s">
        <v>1010</v>
      </c>
      <c r="M68" s="64" t="s">
        <v>1010</v>
      </c>
      <c r="N68" s="55">
        <v>45789</v>
      </c>
      <c r="O68" s="55">
        <v>45818</v>
      </c>
      <c r="P68" s="65">
        <v>45833</v>
      </c>
      <c r="Q68" s="12">
        <v>1284</v>
      </c>
      <c r="R68" t="str">
        <f t="shared" si="1"/>
        <v>Cerrado</v>
      </c>
      <c r="S68" s="12" t="s">
        <v>995</v>
      </c>
      <c r="T68" s="12"/>
    </row>
    <row r="69" spans="1:20" ht="12.75" customHeight="1" x14ac:dyDescent="0.3">
      <c r="A69">
        <v>68</v>
      </c>
      <c r="B69" s="22" t="s">
        <v>1062</v>
      </c>
      <c r="C69" s="22" t="s">
        <v>107</v>
      </c>
      <c r="D69" s="117" t="s">
        <v>1011</v>
      </c>
      <c r="E69" s="70">
        <v>45736</v>
      </c>
      <c r="F69" s="127" t="s">
        <v>1021</v>
      </c>
      <c r="G69" s="71">
        <v>50</v>
      </c>
      <c r="H69" s="71">
        <v>0</v>
      </c>
      <c r="I69" s="81">
        <v>0</v>
      </c>
      <c r="J69" s="71">
        <v>0</v>
      </c>
      <c r="K69" s="66" t="s">
        <v>989</v>
      </c>
      <c r="L69" s="73" t="s">
        <v>1009</v>
      </c>
      <c r="M69" s="73" t="s">
        <v>1009</v>
      </c>
      <c r="N69" s="74">
        <v>45805</v>
      </c>
      <c r="O69" s="74">
        <v>45818</v>
      </c>
      <c r="P69" s="74"/>
      <c r="Q69" s="1">
        <v>1299</v>
      </c>
      <c r="R69" t="str">
        <f t="shared" si="1"/>
        <v>Abierto</v>
      </c>
      <c r="S69" s="1" t="s">
        <v>994</v>
      </c>
      <c r="T69" s="1"/>
    </row>
    <row r="70" spans="1:20" ht="12.75" customHeight="1" x14ac:dyDescent="0.3">
      <c r="A70">
        <v>69</v>
      </c>
      <c r="B70" s="13" t="s">
        <v>1057</v>
      </c>
      <c r="C70" s="13" t="s">
        <v>105</v>
      </c>
      <c r="D70" s="60">
        <v>1276739353</v>
      </c>
      <c r="E70" s="61">
        <v>45736</v>
      </c>
      <c r="F70" s="128" t="s">
        <v>1026</v>
      </c>
      <c r="G70" s="62">
        <v>90</v>
      </c>
      <c r="H70" s="62">
        <v>170</v>
      </c>
      <c r="I70" s="67">
        <v>0</v>
      </c>
      <c r="J70" s="62">
        <v>170</v>
      </c>
      <c r="K70" s="66" t="s">
        <v>989</v>
      </c>
      <c r="L70" s="64" t="s">
        <v>1010</v>
      </c>
      <c r="M70" s="64" t="s">
        <v>1010</v>
      </c>
      <c r="N70" s="55">
        <v>45789</v>
      </c>
      <c r="O70" s="55">
        <v>45818</v>
      </c>
      <c r="P70" s="65">
        <v>45833</v>
      </c>
      <c r="Q70" s="12">
        <v>1286</v>
      </c>
      <c r="R70" t="str">
        <f t="shared" si="1"/>
        <v>Cerrado</v>
      </c>
      <c r="S70" s="12" t="s">
        <v>995</v>
      </c>
      <c r="T70" s="12"/>
    </row>
    <row r="71" spans="1:20" ht="15" customHeight="1" x14ac:dyDescent="0.3">
      <c r="A71">
        <v>70</v>
      </c>
      <c r="B71" s="13" t="s">
        <v>1057</v>
      </c>
      <c r="C71" s="13" t="s">
        <v>106</v>
      </c>
      <c r="D71" s="60">
        <v>3031110787</v>
      </c>
      <c r="E71" s="61">
        <v>45736</v>
      </c>
      <c r="F71" s="128" t="s">
        <v>1026</v>
      </c>
      <c r="G71" s="62">
        <v>90</v>
      </c>
      <c r="H71" s="62">
        <v>170</v>
      </c>
      <c r="I71" s="67">
        <v>0</v>
      </c>
      <c r="J71" s="62">
        <v>170</v>
      </c>
      <c r="K71" s="66" t="s">
        <v>989</v>
      </c>
      <c r="L71" s="64" t="s">
        <v>1010</v>
      </c>
      <c r="M71" s="64" t="s">
        <v>1010</v>
      </c>
      <c r="N71" s="55">
        <v>45789</v>
      </c>
      <c r="O71" s="55">
        <v>45818</v>
      </c>
      <c r="P71" s="65">
        <v>45833</v>
      </c>
      <c r="Q71" s="12">
        <v>1285</v>
      </c>
      <c r="R71" t="str">
        <f t="shared" si="1"/>
        <v>Cerrado</v>
      </c>
      <c r="S71" s="12" t="s">
        <v>995</v>
      </c>
      <c r="T71" s="12"/>
    </row>
    <row r="72" spans="1:20" ht="12.75" customHeight="1" x14ac:dyDescent="0.3">
      <c r="A72">
        <v>71</v>
      </c>
      <c r="B72" s="2" t="s">
        <v>1061</v>
      </c>
      <c r="C72" s="2" t="s">
        <v>108</v>
      </c>
      <c r="D72" s="83" t="s">
        <v>109</v>
      </c>
      <c r="E72" s="75">
        <v>45737</v>
      </c>
      <c r="F72" s="130" t="s">
        <v>1016</v>
      </c>
      <c r="G72" s="76">
        <v>0</v>
      </c>
      <c r="H72" s="76">
        <v>0</v>
      </c>
      <c r="I72" s="20">
        <v>0</v>
      </c>
      <c r="J72" s="76">
        <v>0</v>
      </c>
      <c r="K72" s="66" t="s">
        <v>989</v>
      </c>
      <c r="L72" s="10" t="s">
        <v>1009</v>
      </c>
      <c r="M72" s="10" t="s">
        <v>1009</v>
      </c>
      <c r="N72" s="79"/>
      <c r="O72" s="79"/>
      <c r="P72" s="79"/>
      <c r="Q72" s="11"/>
      <c r="R72" t="str">
        <f t="shared" si="1"/>
        <v>Cerrado</v>
      </c>
      <c r="S72" t="s">
        <v>993</v>
      </c>
    </row>
    <row r="73" spans="1:20" ht="12.75" customHeight="1" x14ac:dyDescent="0.3">
      <c r="A73">
        <v>72</v>
      </c>
      <c r="B73" s="2" t="s">
        <v>1062</v>
      </c>
      <c r="C73" s="2" t="s">
        <v>110</v>
      </c>
      <c r="D73" s="9" t="s">
        <v>1011</v>
      </c>
      <c r="E73" s="75">
        <v>45737</v>
      </c>
      <c r="F73" s="130" t="s">
        <v>1033</v>
      </c>
      <c r="G73" s="76">
        <v>0</v>
      </c>
      <c r="H73" s="76">
        <v>0</v>
      </c>
      <c r="I73" s="20">
        <v>0</v>
      </c>
      <c r="J73" s="76">
        <v>0</v>
      </c>
      <c r="K73" s="66" t="s">
        <v>989</v>
      </c>
      <c r="L73" s="78" t="s">
        <v>1009</v>
      </c>
      <c r="M73" s="78" t="s">
        <v>1009</v>
      </c>
      <c r="N73" s="79"/>
      <c r="O73" s="79"/>
      <c r="P73" s="79"/>
      <c r="Q73" s="11"/>
      <c r="R73" t="str">
        <f t="shared" si="1"/>
        <v>Cerrado</v>
      </c>
      <c r="S73" t="s">
        <v>993</v>
      </c>
    </row>
    <row r="74" spans="1:20" x14ac:dyDescent="0.3">
      <c r="A74">
        <v>73</v>
      </c>
      <c r="B74" s="2" t="s">
        <v>1063</v>
      </c>
      <c r="C74" s="2" t="s">
        <v>111</v>
      </c>
      <c r="D74" s="83" t="s">
        <v>112</v>
      </c>
      <c r="E74" s="75">
        <v>45739</v>
      </c>
      <c r="F74" s="130" t="s">
        <v>1021</v>
      </c>
      <c r="G74" s="76">
        <v>0</v>
      </c>
      <c r="H74" s="76">
        <v>0</v>
      </c>
      <c r="I74" s="20">
        <v>0</v>
      </c>
      <c r="J74" s="76">
        <v>0</v>
      </c>
      <c r="K74" s="66" t="s">
        <v>989</v>
      </c>
      <c r="L74" s="78" t="s">
        <v>1009</v>
      </c>
      <c r="M74" s="78" t="s">
        <v>1009</v>
      </c>
      <c r="N74" s="79"/>
      <c r="O74" s="79"/>
      <c r="P74" s="79"/>
      <c r="Q74" s="11"/>
      <c r="R74" t="str">
        <f t="shared" si="1"/>
        <v>Cerrado</v>
      </c>
      <c r="S74" t="s">
        <v>993</v>
      </c>
    </row>
    <row r="75" spans="1:20" x14ac:dyDescent="0.3">
      <c r="A75">
        <v>74</v>
      </c>
      <c r="B75" s="2" t="s">
        <v>1063</v>
      </c>
      <c r="C75" s="2" t="s">
        <v>113</v>
      </c>
      <c r="D75" s="9" t="s">
        <v>1011</v>
      </c>
      <c r="E75" s="75">
        <v>45739</v>
      </c>
      <c r="F75" s="130" t="s">
        <v>1021</v>
      </c>
      <c r="G75" s="76">
        <v>0</v>
      </c>
      <c r="H75" s="76">
        <v>0</v>
      </c>
      <c r="I75" s="20">
        <v>0</v>
      </c>
      <c r="J75" s="76">
        <v>0</v>
      </c>
      <c r="K75" s="66" t="s">
        <v>989</v>
      </c>
      <c r="L75" s="78" t="s">
        <v>1009</v>
      </c>
      <c r="M75" s="78" t="s">
        <v>1009</v>
      </c>
      <c r="N75" s="79"/>
      <c r="O75" s="79"/>
      <c r="P75" s="79"/>
      <c r="Q75" s="11"/>
      <c r="R75" t="str">
        <f t="shared" si="1"/>
        <v>Cerrado</v>
      </c>
      <c r="S75" t="s">
        <v>993</v>
      </c>
    </row>
    <row r="76" spans="1:20" ht="12.75" customHeight="1" x14ac:dyDescent="0.3">
      <c r="A76">
        <v>75</v>
      </c>
      <c r="B76" s="11" t="s">
        <v>1063</v>
      </c>
      <c r="C76" s="11" t="s">
        <v>114</v>
      </c>
      <c r="D76" s="9" t="s">
        <v>1011</v>
      </c>
      <c r="E76" s="75">
        <v>45741</v>
      </c>
      <c r="F76" s="130" t="s">
        <v>1021</v>
      </c>
      <c r="G76" s="76">
        <v>0</v>
      </c>
      <c r="H76" s="76">
        <v>0</v>
      </c>
      <c r="I76" s="20">
        <v>0</v>
      </c>
      <c r="J76" s="76">
        <v>0</v>
      </c>
      <c r="K76" s="66" t="s">
        <v>989</v>
      </c>
      <c r="L76" s="78" t="s">
        <v>1009</v>
      </c>
      <c r="M76" s="78" t="s">
        <v>1009</v>
      </c>
      <c r="N76" s="79"/>
      <c r="O76" s="79"/>
      <c r="P76" s="79"/>
      <c r="Q76" s="11"/>
      <c r="R76" t="str">
        <f t="shared" si="1"/>
        <v>Cerrado</v>
      </c>
      <c r="S76" t="s">
        <v>993</v>
      </c>
    </row>
    <row r="77" spans="1:20" s="12" customFormat="1" x14ac:dyDescent="0.3">
      <c r="A77">
        <v>76</v>
      </c>
      <c r="B77" s="12" t="s">
        <v>1071</v>
      </c>
      <c r="C77" s="12" t="s">
        <v>116</v>
      </c>
      <c r="D77" s="60" t="s">
        <v>1012</v>
      </c>
      <c r="E77" s="61">
        <v>45742</v>
      </c>
      <c r="F77" s="128" t="s">
        <v>1028</v>
      </c>
      <c r="G77" s="62">
        <v>500</v>
      </c>
      <c r="H77" s="62">
        <v>1400</v>
      </c>
      <c r="I77" s="67">
        <v>0</v>
      </c>
      <c r="J77" s="62">
        <v>1400</v>
      </c>
      <c r="K77" s="66" t="s">
        <v>989</v>
      </c>
      <c r="L77" s="64" t="s">
        <v>1010</v>
      </c>
      <c r="M77" s="64" t="s">
        <v>1010</v>
      </c>
      <c r="N77" s="65"/>
      <c r="O77" s="65"/>
      <c r="P77" s="65"/>
      <c r="R77" t="str">
        <f t="shared" si="1"/>
        <v>Cerrado</v>
      </c>
      <c r="S77" s="12" t="s">
        <v>995</v>
      </c>
    </row>
    <row r="78" spans="1:20" x14ac:dyDescent="0.3">
      <c r="A78">
        <v>77</v>
      </c>
      <c r="B78" s="12" t="s">
        <v>1060</v>
      </c>
      <c r="C78" s="12" t="s">
        <v>117</v>
      </c>
      <c r="D78" s="60" t="s">
        <v>118</v>
      </c>
      <c r="E78" s="61">
        <v>45742</v>
      </c>
      <c r="F78" s="128" t="s">
        <v>1024</v>
      </c>
      <c r="G78" s="62">
        <v>80</v>
      </c>
      <c r="H78" s="62">
        <v>191.1</v>
      </c>
      <c r="I78" s="67">
        <v>0</v>
      </c>
      <c r="J78" s="62" t="s">
        <v>1005</v>
      </c>
      <c r="K78" s="66" t="s">
        <v>991</v>
      </c>
      <c r="L78" s="64" t="s">
        <v>1010</v>
      </c>
      <c r="M78" s="64" t="s">
        <v>1010</v>
      </c>
      <c r="N78" s="65">
        <v>45820</v>
      </c>
      <c r="O78" s="65">
        <v>45848</v>
      </c>
      <c r="P78" s="65">
        <v>45856</v>
      </c>
      <c r="Q78" s="12">
        <v>1306</v>
      </c>
      <c r="R78" t="str">
        <f t="shared" si="1"/>
        <v>Cerrado</v>
      </c>
      <c r="S78" s="12" t="s">
        <v>995</v>
      </c>
      <c r="T78" s="12"/>
    </row>
    <row r="79" spans="1:20" x14ac:dyDescent="0.3">
      <c r="A79">
        <v>78</v>
      </c>
      <c r="B79" s="11" t="s">
        <v>1063</v>
      </c>
      <c r="C79" s="11" t="s">
        <v>119</v>
      </c>
      <c r="D79" s="9" t="s">
        <v>1011</v>
      </c>
      <c r="E79" s="75">
        <v>45744</v>
      </c>
      <c r="F79" s="130" t="s">
        <v>1021</v>
      </c>
      <c r="G79" s="76">
        <v>0</v>
      </c>
      <c r="H79" s="76">
        <v>0</v>
      </c>
      <c r="I79" s="20">
        <v>0</v>
      </c>
      <c r="J79" s="76">
        <v>0</v>
      </c>
      <c r="K79" s="66" t="s">
        <v>989</v>
      </c>
      <c r="L79" s="78" t="s">
        <v>1009</v>
      </c>
      <c r="M79" s="78" t="s">
        <v>1009</v>
      </c>
      <c r="N79" s="79"/>
      <c r="O79" s="79"/>
      <c r="P79" s="79"/>
      <c r="Q79" s="11"/>
      <c r="R79" t="str">
        <f t="shared" si="1"/>
        <v>Cerrado</v>
      </c>
      <c r="S79" t="s">
        <v>993</v>
      </c>
    </row>
    <row r="80" spans="1:20" x14ac:dyDescent="0.3">
      <c r="A80">
        <v>79</v>
      </c>
      <c r="B80" s="85" t="s">
        <v>1057</v>
      </c>
      <c r="C80" s="12" t="s">
        <v>120</v>
      </c>
      <c r="D80" s="60">
        <v>2047233106</v>
      </c>
      <c r="E80" s="61">
        <v>45745</v>
      </c>
      <c r="F80" s="128" t="s">
        <v>1017</v>
      </c>
      <c r="G80" s="62">
        <v>90</v>
      </c>
      <c r="H80" s="62">
        <v>100</v>
      </c>
      <c r="I80" s="67">
        <v>0</v>
      </c>
      <c r="J80" s="62">
        <v>100</v>
      </c>
      <c r="K80" s="66" t="s">
        <v>989</v>
      </c>
      <c r="L80" s="64" t="s">
        <v>1009</v>
      </c>
      <c r="M80" s="64" t="s">
        <v>1009</v>
      </c>
      <c r="N80" s="65">
        <v>45761</v>
      </c>
      <c r="O80" s="61">
        <v>45422</v>
      </c>
      <c r="P80" s="65">
        <v>45833</v>
      </c>
      <c r="Q80" s="12">
        <v>1271</v>
      </c>
      <c r="R80" t="str">
        <f t="shared" si="1"/>
        <v>Cerrado</v>
      </c>
      <c r="S80" s="12" t="s">
        <v>995</v>
      </c>
      <c r="T80" s="12"/>
    </row>
    <row r="81" spans="1:20" x14ac:dyDescent="0.3">
      <c r="A81">
        <v>80</v>
      </c>
      <c r="B81" s="2" t="s">
        <v>1062</v>
      </c>
      <c r="C81" s="11" t="s">
        <v>121</v>
      </c>
      <c r="D81" s="9" t="s">
        <v>1011</v>
      </c>
      <c r="E81" s="75">
        <v>45745</v>
      </c>
      <c r="F81" s="130" t="s">
        <v>1015</v>
      </c>
      <c r="G81" s="76">
        <v>0</v>
      </c>
      <c r="H81" s="76">
        <v>0</v>
      </c>
      <c r="I81" s="20">
        <v>0</v>
      </c>
      <c r="J81" s="76">
        <v>0</v>
      </c>
      <c r="K81" s="66" t="s">
        <v>989</v>
      </c>
      <c r="L81" s="78" t="s">
        <v>1009</v>
      </c>
      <c r="M81" s="78" t="s">
        <v>1009</v>
      </c>
      <c r="N81" s="79"/>
      <c r="O81" s="79"/>
      <c r="P81" s="79"/>
      <c r="Q81" s="11"/>
      <c r="R81" t="str">
        <f t="shared" si="1"/>
        <v>Cerrado</v>
      </c>
      <c r="S81" t="s">
        <v>993</v>
      </c>
    </row>
    <row r="82" spans="1:20" x14ac:dyDescent="0.3">
      <c r="A82">
        <v>81</v>
      </c>
      <c r="B82" s="2" t="s">
        <v>1062</v>
      </c>
      <c r="C82" s="11" t="s">
        <v>122</v>
      </c>
      <c r="D82" s="9" t="s">
        <v>1011</v>
      </c>
      <c r="E82" s="75">
        <v>45746</v>
      </c>
      <c r="F82" s="130" t="s">
        <v>1034</v>
      </c>
      <c r="G82" s="76">
        <v>0</v>
      </c>
      <c r="H82" s="76">
        <v>0</v>
      </c>
      <c r="I82" s="20">
        <v>0</v>
      </c>
      <c r="J82" s="76">
        <v>0</v>
      </c>
      <c r="K82" s="66" t="s">
        <v>989</v>
      </c>
      <c r="L82" s="78" t="s">
        <v>1009</v>
      </c>
      <c r="M82" s="78" t="s">
        <v>1009</v>
      </c>
      <c r="N82" s="79"/>
      <c r="O82" s="79"/>
      <c r="P82" s="79"/>
      <c r="Q82" s="11"/>
      <c r="R82" t="str">
        <f t="shared" si="1"/>
        <v>Cerrado</v>
      </c>
      <c r="S82" t="s">
        <v>993</v>
      </c>
    </row>
    <row r="83" spans="1:20" x14ac:dyDescent="0.3">
      <c r="A83">
        <v>82</v>
      </c>
      <c r="B83" s="11" t="s">
        <v>1060</v>
      </c>
      <c r="C83" s="11" t="s">
        <v>123</v>
      </c>
      <c r="D83" s="83" t="s">
        <v>124</v>
      </c>
      <c r="E83" s="75">
        <v>45747</v>
      </c>
      <c r="F83" s="130" t="s">
        <v>1024</v>
      </c>
      <c r="G83" s="76">
        <v>0</v>
      </c>
      <c r="H83" s="76">
        <v>0</v>
      </c>
      <c r="I83" s="20">
        <v>0</v>
      </c>
      <c r="J83" s="76">
        <v>0</v>
      </c>
      <c r="K83" s="66" t="s">
        <v>989</v>
      </c>
      <c r="L83" s="78" t="s">
        <v>1009</v>
      </c>
      <c r="M83" s="78" t="s">
        <v>1009</v>
      </c>
      <c r="N83" s="79"/>
      <c r="O83" s="79"/>
      <c r="P83" s="79"/>
      <c r="Q83" s="11"/>
      <c r="R83" t="str">
        <f t="shared" si="1"/>
        <v>Cerrado</v>
      </c>
      <c r="S83" t="s">
        <v>993</v>
      </c>
    </row>
    <row r="84" spans="1:20" s="12" customFormat="1" x14ac:dyDescent="0.3">
      <c r="A84">
        <v>83</v>
      </c>
      <c r="B84" s="12" t="s">
        <v>1060</v>
      </c>
      <c r="C84" s="12" t="s">
        <v>125</v>
      </c>
      <c r="D84" s="60" t="s">
        <v>126</v>
      </c>
      <c r="E84" s="61">
        <v>45751</v>
      </c>
      <c r="F84" s="128" t="s">
        <v>1024</v>
      </c>
      <c r="G84" s="62">
        <v>80</v>
      </c>
      <c r="H84" s="62">
        <v>150</v>
      </c>
      <c r="I84" s="67">
        <v>0</v>
      </c>
      <c r="J84" s="62" t="s">
        <v>1004</v>
      </c>
      <c r="K84" s="66" t="s">
        <v>991</v>
      </c>
      <c r="L84" s="64" t="s">
        <v>1010</v>
      </c>
      <c r="M84" s="64" t="s">
        <v>1010</v>
      </c>
      <c r="N84" s="65">
        <v>45859</v>
      </c>
      <c r="O84" s="65">
        <v>45879</v>
      </c>
      <c r="P84" s="65">
        <v>45888</v>
      </c>
      <c r="Q84" s="12">
        <v>1321</v>
      </c>
      <c r="R84" t="str">
        <f t="shared" si="1"/>
        <v>Cerrado</v>
      </c>
      <c r="S84" s="12" t="s">
        <v>995</v>
      </c>
    </row>
    <row r="85" spans="1:20" s="12" customFormat="1" x14ac:dyDescent="0.3">
      <c r="A85">
        <v>84</v>
      </c>
      <c r="B85" s="12" t="s">
        <v>1060</v>
      </c>
      <c r="C85" s="12" t="s">
        <v>127</v>
      </c>
      <c r="D85" s="60" t="s">
        <v>128</v>
      </c>
      <c r="E85" s="61">
        <v>45751</v>
      </c>
      <c r="F85" s="128" t="s">
        <v>1024</v>
      </c>
      <c r="G85" s="62">
        <v>80</v>
      </c>
      <c r="H85" s="62">
        <v>155.94999999999999</v>
      </c>
      <c r="I85" s="67">
        <v>0</v>
      </c>
      <c r="J85" s="62" t="s">
        <v>1003</v>
      </c>
      <c r="K85" s="66" t="s">
        <v>991</v>
      </c>
      <c r="L85" s="64" t="s">
        <v>1010</v>
      </c>
      <c r="M85" s="64" t="s">
        <v>1010</v>
      </c>
      <c r="N85" s="65">
        <v>45848</v>
      </c>
      <c r="O85" s="65">
        <v>45879</v>
      </c>
      <c r="P85" s="65">
        <v>45888</v>
      </c>
      <c r="Q85" s="12">
        <v>1320</v>
      </c>
      <c r="R85" t="str">
        <f t="shared" si="1"/>
        <v>Cerrado</v>
      </c>
      <c r="S85" s="12" t="s">
        <v>995</v>
      </c>
    </row>
    <row r="86" spans="1:20" s="12" customFormat="1" x14ac:dyDescent="0.3">
      <c r="A86">
        <v>85</v>
      </c>
      <c r="B86" s="12" t="s">
        <v>1060</v>
      </c>
      <c r="C86" s="12" t="s">
        <v>129</v>
      </c>
      <c r="D86" s="60" t="s">
        <v>130</v>
      </c>
      <c r="E86" s="61">
        <v>45751</v>
      </c>
      <c r="F86" s="128" t="s">
        <v>1024</v>
      </c>
      <c r="G86" s="62">
        <v>80</v>
      </c>
      <c r="H86" s="62">
        <v>155.94999999999999</v>
      </c>
      <c r="I86" s="67">
        <v>0</v>
      </c>
      <c r="J86" s="62" t="s">
        <v>1003</v>
      </c>
      <c r="K86" s="66" t="s">
        <v>991</v>
      </c>
      <c r="L86" s="64" t="s">
        <v>1010</v>
      </c>
      <c r="M86" s="64" t="s">
        <v>1010</v>
      </c>
      <c r="N86" s="65">
        <v>45848</v>
      </c>
      <c r="O86" s="65">
        <v>45879</v>
      </c>
      <c r="P86" s="65">
        <v>45888</v>
      </c>
      <c r="Q86" s="12">
        <v>1319</v>
      </c>
      <c r="R86" t="str">
        <f t="shared" si="1"/>
        <v>Cerrado</v>
      </c>
      <c r="S86" s="12" t="s">
        <v>995</v>
      </c>
    </row>
    <row r="87" spans="1:20" x14ac:dyDescent="0.3">
      <c r="A87">
        <v>86</v>
      </c>
      <c r="B87" s="2" t="s">
        <v>1062</v>
      </c>
      <c r="C87" s="11" t="s">
        <v>131</v>
      </c>
      <c r="D87" s="9" t="s">
        <v>1011</v>
      </c>
      <c r="E87" s="75">
        <v>45752</v>
      </c>
      <c r="F87" s="130" t="s">
        <v>1031</v>
      </c>
      <c r="G87" s="76">
        <v>0</v>
      </c>
      <c r="H87" s="76">
        <v>0</v>
      </c>
      <c r="I87" s="20">
        <v>0</v>
      </c>
      <c r="J87" s="76">
        <v>0</v>
      </c>
      <c r="K87" s="66" t="s">
        <v>989</v>
      </c>
      <c r="L87" s="78" t="s">
        <v>1009</v>
      </c>
      <c r="M87" s="78" t="s">
        <v>1009</v>
      </c>
      <c r="N87" s="79"/>
      <c r="O87" s="79"/>
      <c r="P87" s="79"/>
      <c r="Q87" s="11"/>
      <c r="R87" t="str">
        <f t="shared" si="1"/>
        <v>Cerrado</v>
      </c>
      <c r="S87" t="s">
        <v>993</v>
      </c>
    </row>
    <row r="88" spans="1:20" x14ac:dyDescent="0.3">
      <c r="A88">
        <v>87</v>
      </c>
      <c r="B88" s="86" t="s">
        <v>1067</v>
      </c>
      <c r="C88" s="11" t="s">
        <v>132</v>
      </c>
      <c r="D88" s="9" t="s">
        <v>1011</v>
      </c>
      <c r="E88" s="75">
        <v>45752</v>
      </c>
      <c r="F88" s="130" t="s">
        <v>1028</v>
      </c>
      <c r="G88" s="76">
        <v>0</v>
      </c>
      <c r="H88" s="76">
        <v>0</v>
      </c>
      <c r="I88" s="20">
        <v>0</v>
      </c>
      <c r="J88" s="76">
        <v>0</v>
      </c>
      <c r="K88" s="66" t="s">
        <v>989</v>
      </c>
      <c r="L88" s="78" t="s">
        <v>1009</v>
      </c>
      <c r="M88" s="78" t="s">
        <v>1009</v>
      </c>
      <c r="N88" s="79"/>
      <c r="O88" s="79"/>
      <c r="P88" s="79"/>
      <c r="Q88" s="11"/>
      <c r="R88" t="str">
        <f t="shared" si="1"/>
        <v>Cerrado</v>
      </c>
      <c r="S88" t="s">
        <v>993</v>
      </c>
    </row>
    <row r="89" spans="1:20" x14ac:dyDescent="0.3">
      <c r="A89">
        <v>88</v>
      </c>
      <c r="B89" s="86" t="s">
        <v>1057</v>
      </c>
      <c r="C89" s="11" t="s">
        <v>133</v>
      </c>
      <c r="D89" s="9" t="s">
        <v>1011</v>
      </c>
      <c r="E89" s="75">
        <v>45754</v>
      </c>
      <c r="F89" s="130" t="s">
        <v>1035</v>
      </c>
      <c r="G89" s="76">
        <v>0</v>
      </c>
      <c r="H89" s="76">
        <v>0</v>
      </c>
      <c r="I89" s="20">
        <v>0</v>
      </c>
      <c r="J89" s="76">
        <v>0</v>
      </c>
      <c r="K89" s="66" t="s">
        <v>989</v>
      </c>
      <c r="L89" s="78" t="s">
        <v>1009</v>
      </c>
      <c r="M89" s="78" t="s">
        <v>1009</v>
      </c>
      <c r="N89" s="79"/>
      <c r="O89" s="79"/>
      <c r="P89" s="79"/>
      <c r="Q89" s="11"/>
      <c r="R89" t="str">
        <f t="shared" si="1"/>
        <v>Cerrado</v>
      </c>
      <c r="S89" t="s">
        <v>993</v>
      </c>
    </row>
    <row r="90" spans="1:20" x14ac:dyDescent="0.3">
      <c r="A90">
        <v>89</v>
      </c>
      <c r="B90" s="11" t="s">
        <v>1067</v>
      </c>
      <c r="C90" s="11" t="s">
        <v>134</v>
      </c>
      <c r="D90" s="9" t="s">
        <v>1011</v>
      </c>
      <c r="E90" s="75">
        <v>45758</v>
      </c>
      <c r="F90" s="130" t="s">
        <v>1028</v>
      </c>
      <c r="G90" s="76">
        <v>0</v>
      </c>
      <c r="H90" s="76">
        <v>0</v>
      </c>
      <c r="I90" s="20">
        <v>0</v>
      </c>
      <c r="J90" s="76">
        <v>0</v>
      </c>
      <c r="K90" s="66" t="s">
        <v>989</v>
      </c>
      <c r="L90" s="78" t="s">
        <v>1009</v>
      </c>
      <c r="M90" s="78" t="s">
        <v>1009</v>
      </c>
      <c r="N90" s="79"/>
      <c r="O90" s="79"/>
      <c r="P90" s="79"/>
      <c r="Q90" s="11"/>
      <c r="R90" t="str">
        <f t="shared" si="1"/>
        <v>Cerrado</v>
      </c>
      <c r="S90" t="s">
        <v>993</v>
      </c>
    </row>
    <row r="91" spans="1:20" s="12" customFormat="1" x14ac:dyDescent="0.3">
      <c r="A91">
        <v>90</v>
      </c>
      <c r="B91" s="12" t="s">
        <v>1057</v>
      </c>
      <c r="C91" s="12" t="s">
        <v>135</v>
      </c>
      <c r="D91" s="60">
        <v>3898297256</v>
      </c>
      <c r="E91" s="61">
        <v>45761</v>
      </c>
      <c r="F91" s="128" t="s">
        <v>1013</v>
      </c>
      <c r="G91" s="62">
        <v>250</v>
      </c>
      <c r="H91" s="62">
        <v>2000</v>
      </c>
      <c r="I91" s="67">
        <v>0</v>
      </c>
      <c r="J91" s="62">
        <v>2000</v>
      </c>
      <c r="K91" s="66" t="s">
        <v>989</v>
      </c>
      <c r="L91" s="64" t="s">
        <v>1010</v>
      </c>
      <c r="M91" s="64" t="s">
        <v>1010</v>
      </c>
      <c r="N91" s="65">
        <v>45874</v>
      </c>
      <c r="O91" s="65">
        <v>45910</v>
      </c>
      <c r="P91" s="65">
        <v>45954</v>
      </c>
      <c r="Q91" s="12">
        <v>1331</v>
      </c>
      <c r="R91" t="str">
        <f t="shared" si="1"/>
        <v>Cerrado</v>
      </c>
      <c r="S91" s="12" t="s">
        <v>995</v>
      </c>
    </row>
    <row r="92" spans="1:20" x14ac:dyDescent="0.3">
      <c r="A92">
        <v>91</v>
      </c>
      <c r="B92" s="11" t="s">
        <v>1057</v>
      </c>
      <c r="C92" s="11" t="s">
        <v>136</v>
      </c>
      <c r="D92" s="83">
        <v>2989515387</v>
      </c>
      <c r="E92" s="75">
        <v>45765</v>
      </c>
      <c r="F92" s="130" t="s">
        <v>1015</v>
      </c>
      <c r="G92" s="76">
        <v>0</v>
      </c>
      <c r="H92" s="76">
        <v>0</v>
      </c>
      <c r="I92" s="20">
        <v>0</v>
      </c>
      <c r="J92" s="76">
        <v>0</v>
      </c>
      <c r="K92" s="66" t="s">
        <v>989</v>
      </c>
      <c r="L92" s="78" t="s">
        <v>1009</v>
      </c>
      <c r="M92" s="78" t="s">
        <v>1009</v>
      </c>
      <c r="N92" s="79"/>
      <c r="O92" s="79"/>
      <c r="P92" s="79"/>
      <c r="Q92" s="11"/>
      <c r="R92" t="str">
        <f t="shared" si="1"/>
        <v>Cerrado</v>
      </c>
      <c r="S92" t="s">
        <v>993</v>
      </c>
    </row>
    <row r="93" spans="1:20" ht="15.75" customHeight="1" x14ac:dyDescent="0.3">
      <c r="A93">
        <v>92</v>
      </c>
      <c r="B93" s="11" t="s">
        <v>1063</v>
      </c>
      <c r="C93" s="11" t="s">
        <v>137</v>
      </c>
      <c r="D93" s="87" t="s">
        <v>138</v>
      </c>
      <c r="E93" s="75">
        <v>45765</v>
      </c>
      <c r="F93" s="130" t="s">
        <v>1036</v>
      </c>
      <c r="G93" s="76">
        <v>0</v>
      </c>
      <c r="H93" s="76">
        <v>0</v>
      </c>
      <c r="I93" s="20">
        <v>0</v>
      </c>
      <c r="J93" s="76">
        <v>0</v>
      </c>
      <c r="K93" s="66" t="s">
        <v>989</v>
      </c>
      <c r="L93" s="78" t="s">
        <v>1009</v>
      </c>
      <c r="M93" s="78" t="s">
        <v>1009</v>
      </c>
      <c r="N93" s="79"/>
      <c r="O93" s="79"/>
      <c r="P93" s="79"/>
      <c r="Q93" s="11"/>
      <c r="R93" t="str">
        <f t="shared" si="1"/>
        <v>Cerrado</v>
      </c>
      <c r="S93" t="s">
        <v>993</v>
      </c>
    </row>
    <row r="94" spans="1:20" s="27" customFormat="1" ht="15.75" customHeight="1" x14ac:dyDescent="0.3">
      <c r="A94">
        <v>93</v>
      </c>
      <c r="B94" s="12" t="s">
        <v>1057</v>
      </c>
      <c r="C94" s="12" t="s">
        <v>139</v>
      </c>
      <c r="D94" s="60">
        <v>1942958</v>
      </c>
      <c r="E94" s="61">
        <v>45766</v>
      </c>
      <c r="F94" s="128" t="s">
        <v>1018</v>
      </c>
      <c r="G94" s="62">
        <v>80</v>
      </c>
      <c r="H94" s="62">
        <v>52.73</v>
      </c>
      <c r="I94" s="67">
        <v>0</v>
      </c>
      <c r="J94" s="62">
        <v>62312</v>
      </c>
      <c r="K94" s="66" t="s">
        <v>990</v>
      </c>
      <c r="L94" s="64" t="s">
        <v>1010</v>
      </c>
      <c r="M94" s="64" t="s">
        <v>1010</v>
      </c>
      <c r="N94" s="55">
        <v>45789</v>
      </c>
      <c r="O94" s="55">
        <v>45818</v>
      </c>
      <c r="P94" s="65">
        <v>45833</v>
      </c>
      <c r="Q94" s="12">
        <v>1287</v>
      </c>
      <c r="R94" t="str">
        <f t="shared" si="1"/>
        <v>Cerrado</v>
      </c>
      <c r="S94" s="12" t="s">
        <v>995</v>
      </c>
      <c r="T94" s="12"/>
    </row>
    <row r="95" spans="1:20" s="12" customFormat="1" x14ac:dyDescent="0.3">
      <c r="A95">
        <v>94</v>
      </c>
      <c r="B95" s="12" t="s">
        <v>1057</v>
      </c>
      <c r="C95" s="12" t="s">
        <v>140</v>
      </c>
      <c r="D95" s="60">
        <v>3482990320</v>
      </c>
      <c r="E95" s="61">
        <v>45767</v>
      </c>
      <c r="F95" s="128" t="s">
        <v>1015</v>
      </c>
      <c r="G95" s="62">
        <v>90</v>
      </c>
      <c r="H95" s="62">
        <v>471.6</v>
      </c>
      <c r="I95" s="67">
        <v>0</v>
      </c>
      <c r="J95" s="62">
        <v>420</v>
      </c>
      <c r="K95" s="66" t="s">
        <v>991</v>
      </c>
      <c r="L95" s="64" t="s">
        <v>1010</v>
      </c>
      <c r="M95" s="64" t="s">
        <v>1010</v>
      </c>
      <c r="N95" s="65">
        <v>45805</v>
      </c>
      <c r="O95" s="65">
        <v>45818</v>
      </c>
      <c r="P95" s="65">
        <v>45954</v>
      </c>
      <c r="Q95" s="12">
        <v>1291</v>
      </c>
      <c r="R95" t="str">
        <f t="shared" si="1"/>
        <v>Cerrado</v>
      </c>
      <c r="S95" s="12" t="s">
        <v>995</v>
      </c>
    </row>
    <row r="96" spans="1:20" s="12" customFormat="1" x14ac:dyDescent="0.3">
      <c r="A96">
        <v>95</v>
      </c>
      <c r="B96" s="12" t="s">
        <v>1060</v>
      </c>
      <c r="C96" s="12" t="s">
        <v>141</v>
      </c>
      <c r="D96" s="60" t="s">
        <v>142</v>
      </c>
      <c r="E96" s="61">
        <v>45767</v>
      </c>
      <c r="F96" s="128" t="s">
        <v>1016</v>
      </c>
      <c r="G96" s="62">
        <v>80</v>
      </c>
      <c r="H96" s="62">
        <v>580</v>
      </c>
      <c r="I96" s="67">
        <v>0</v>
      </c>
      <c r="J96" s="62">
        <v>580</v>
      </c>
      <c r="K96" s="66" t="s">
        <v>989</v>
      </c>
      <c r="L96" s="64" t="s">
        <v>1010</v>
      </c>
      <c r="M96" s="64" t="s">
        <v>1010</v>
      </c>
      <c r="N96" s="65">
        <v>45820</v>
      </c>
      <c r="O96" s="65">
        <v>45848</v>
      </c>
      <c r="P96" s="65">
        <v>45856</v>
      </c>
      <c r="Q96" s="12">
        <v>1307</v>
      </c>
      <c r="R96" t="str">
        <f t="shared" si="1"/>
        <v>Cerrado</v>
      </c>
      <c r="S96" s="12" t="s">
        <v>995</v>
      </c>
    </row>
    <row r="97" spans="1:20" x14ac:dyDescent="0.3">
      <c r="A97">
        <v>96</v>
      </c>
      <c r="B97" s="11" t="s">
        <v>1062</v>
      </c>
      <c r="C97" s="11" t="s">
        <v>143</v>
      </c>
      <c r="D97" s="9" t="s">
        <v>1011</v>
      </c>
      <c r="E97" s="144">
        <v>45769</v>
      </c>
      <c r="F97" s="145" t="s">
        <v>1015</v>
      </c>
      <c r="G97" s="76">
        <v>0</v>
      </c>
      <c r="H97" s="76">
        <v>0</v>
      </c>
      <c r="I97" s="20">
        <v>0</v>
      </c>
      <c r="J97" s="76">
        <v>0</v>
      </c>
      <c r="K97" s="66" t="s">
        <v>989</v>
      </c>
      <c r="L97" s="78" t="s">
        <v>1009</v>
      </c>
      <c r="M97" s="78" t="s">
        <v>1009</v>
      </c>
      <c r="N97" s="79"/>
      <c r="O97" s="79"/>
      <c r="P97" s="79"/>
      <c r="Q97" s="11"/>
      <c r="R97" t="str">
        <f t="shared" si="1"/>
        <v>Cerrado</v>
      </c>
      <c r="S97" t="s">
        <v>993</v>
      </c>
    </row>
    <row r="98" spans="1:20" x14ac:dyDescent="0.3">
      <c r="A98">
        <v>97</v>
      </c>
      <c r="B98" s="11" t="s">
        <v>1067</v>
      </c>
      <c r="C98" s="11" t="s">
        <v>144</v>
      </c>
      <c r="D98" s="83" t="s">
        <v>145</v>
      </c>
      <c r="E98" s="144">
        <v>45770</v>
      </c>
      <c r="F98" s="145" t="s">
        <v>1028</v>
      </c>
      <c r="G98" s="76">
        <v>0</v>
      </c>
      <c r="H98" s="76">
        <v>0</v>
      </c>
      <c r="I98" s="20">
        <v>0</v>
      </c>
      <c r="J98" s="76">
        <v>0</v>
      </c>
      <c r="K98" s="66" t="s">
        <v>989</v>
      </c>
      <c r="L98" s="78" t="s">
        <v>1009</v>
      </c>
      <c r="M98" s="78" t="s">
        <v>1009</v>
      </c>
      <c r="N98" s="79"/>
      <c r="O98" s="79"/>
      <c r="P98" s="79"/>
      <c r="Q98" s="11"/>
      <c r="R98" t="str">
        <f t="shared" si="1"/>
        <v>Cerrado</v>
      </c>
      <c r="S98" t="s">
        <v>993</v>
      </c>
    </row>
    <row r="99" spans="1:20" x14ac:dyDescent="0.3">
      <c r="A99">
        <v>98</v>
      </c>
      <c r="B99" s="1" t="s">
        <v>1063</v>
      </c>
      <c r="C99" s="1" t="s">
        <v>149</v>
      </c>
      <c r="D99" s="69" t="s">
        <v>150</v>
      </c>
      <c r="E99" s="146">
        <v>45771</v>
      </c>
      <c r="F99" s="147" t="s">
        <v>1021</v>
      </c>
      <c r="G99" s="71">
        <v>80</v>
      </c>
      <c r="H99" s="71">
        <v>0</v>
      </c>
      <c r="I99" s="81">
        <v>0</v>
      </c>
      <c r="J99" s="71">
        <v>0</v>
      </c>
      <c r="K99" s="66" t="s">
        <v>989</v>
      </c>
      <c r="L99" s="73" t="s">
        <v>1009</v>
      </c>
      <c r="M99" s="73" t="s">
        <v>1009</v>
      </c>
      <c r="N99" s="74">
        <v>45820</v>
      </c>
      <c r="O99" s="74">
        <v>45848</v>
      </c>
      <c r="P99" s="74"/>
      <c r="Q99" s="1">
        <v>1308</v>
      </c>
      <c r="R99" t="str">
        <f t="shared" si="1"/>
        <v>Abierto</v>
      </c>
      <c r="S99" s="1" t="s">
        <v>994</v>
      </c>
      <c r="T99" s="1"/>
    </row>
    <row r="100" spans="1:20" x14ac:dyDescent="0.3">
      <c r="A100">
        <v>99</v>
      </c>
      <c r="B100" s="12" t="s">
        <v>1057</v>
      </c>
      <c r="C100" s="12" t="s">
        <v>146</v>
      </c>
      <c r="D100" s="60">
        <v>1328169861</v>
      </c>
      <c r="E100" s="148">
        <v>45771</v>
      </c>
      <c r="F100" s="149" t="s">
        <v>1017</v>
      </c>
      <c r="G100" s="62">
        <v>90</v>
      </c>
      <c r="H100" s="62">
        <v>100</v>
      </c>
      <c r="I100" s="67">
        <v>0</v>
      </c>
      <c r="J100" s="62">
        <v>100</v>
      </c>
      <c r="K100" s="66" t="s">
        <v>989</v>
      </c>
      <c r="L100" s="64" t="s">
        <v>1010</v>
      </c>
      <c r="M100" s="64" t="s">
        <v>1010</v>
      </c>
      <c r="N100" s="55">
        <v>45789</v>
      </c>
      <c r="O100" s="55">
        <v>45818</v>
      </c>
      <c r="P100" s="65">
        <v>45833</v>
      </c>
      <c r="Q100" s="12">
        <v>1288</v>
      </c>
      <c r="R100" t="str">
        <f t="shared" si="1"/>
        <v>Cerrado</v>
      </c>
      <c r="S100" s="12" t="s">
        <v>995</v>
      </c>
      <c r="T100" s="12"/>
    </row>
    <row r="101" spans="1:20" x14ac:dyDescent="0.3">
      <c r="A101">
        <v>100</v>
      </c>
      <c r="B101" s="11" t="s">
        <v>1063</v>
      </c>
      <c r="C101" s="11" t="s">
        <v>147</v>
      </c>
      <c r="D101" s="83" t="s">
        <v>148</v>
      </c>
      <c r="E101" s="144">
        <v>45771</v>
      </c>
      <c r="F101" s="145" t="s">
        <v>1021</v>
      </c>
      <c r="G101" s="76">
        <v>0</v>
      </c>
      <c r="H101" s="76">
        <v>0</v>
      </c>
      <c r="I101" s="20">
        <v>0</v>
      </c>
      <c r="J101" s="76">
        <v>0</v>
      </c>
      <c r="K101" s="66" t="s">
        <v>989</v>
      </c>
      <c r="L101" s="78" t="s">
        <v>1009</v>
      </c>
      <c r="M101" s="78" t="s">
        <v>1009</v>
      </c>
      <c r="N101" s="79"/>
      <c r="O101" s="79"/>
      <c r="P101" s="79"/>
      <c r="Q101" s="11"/>
      <c r="R101" t="str">
        <f t="shared" si="1"/>
        <v>Cerrado</v>
      </c>
      <c r="S101" t="s">
        <v>993</v>
      </c>
    </row>
    <row r="102" spans="1:20" x14ac:dyDescent="0.3">
      <c r="A102">
        <v>101</v>
      </c>
      <c r="B102" s="1" t="s">
        <v>1062</v>
      </c>
      <c r="C102" s="1" t="s">
        <v>151</v>
      </c>
      <c r="D102" s="117" t="s">
        <v>1011</v>
      </c>
      <c r="E102" s="146">
        <v>45774</v>
      </c>
      <c r="F102" s="147" t="s">
        <v>1018</v>
      </c>
      <c r="G102" s="71">
        <v>50</v>
      </c>
      <c r="H102" s="71">
        <v>0</v>
      </c>
      <c r="I102" s="81">
        <v>0</v>
      </c>
      <c r="J102" s="71">
        <v>0</v>
      </c>
      <c r="K102" s="66" t="s">
        <v>989</v>
      </c>
      <c r="L102" s="73" t="s">
        <v>1009</v>
      </c>
      <c r="M102" s="73" t="s">
        <v>1009</v>
      </c>
      <c r="N102" s="74">
        <v>45805</v>
      </c>
      <c r="O102" s="74">
        <v>45818</v>
      </c>
      <c r="P102" s="74"/>
      <c r="Q102" s="1">
        <v>1300</v>
      </c>
      <c r="R102" t="str">
        <f t="shared" si="1"/>
        <v>Abierto</v>
      </c>
      <c r="S102" s="1" t="s">
        <v>994</v>
      </c>
      <c r="T102" s="1"/>
    </row>
    <row r="103" spans="1:20" x14ac:dyDescent="0.3">
      <c r="A103">
        <v>102</v>
      </c>
      <c r="B103" s="11" t="s">
        <v>1071</v>
      </c>
      <c r="C103" s="11" t="s">
        <v>152</v>
      </c>
      <c r="D103" s="9" t="s">
        <v>1011</v>
      </c>
      <c r="E103" s="144">
        <v>45778</v>
      </c>
      <c r="F103" s="145" t="s">
        <v>1028</v>
      </c>
      <c r="G103" s="76">
        <v>0</v>
      </c>
      <c r="H103" s="76">
        <v>0</v>
      </c>
      <c r="I103" s="20">
        <v>0</v>
      </c>
      <c r="J103" s="76">
        <v>0</v>
      </c>
      <c r="K103" s="66" t="s">
        <v>989</v>
      </c>
      <c r="L103" s="78" t="s">
        <v>1009</v>
      </c>
      <c r="M103" s="78" t="s">
        <v>1009</v>
      </c>
      <c r="N103" s="79"/>
      <c r="O103" s="79"/>
      <c r="P103" s="79"/>
      <c r="Q103" s="11"/>
      <c r="R103" t="str">
        <f t="shared" si="1"/>
        <v>Cerrado</v>
      </c>
      <c r="S103" t="s">
        <v>993</v>
      </c>
    </row>
    <row r="104" spans="1:20" x14ac:dyDescent="0.3">
      <c r="A104">
        <v>103</v>
      </c>
      <c r="B104" s="11" t="s">
        <v>1067</v>
      </c>
      <c r="C104" s="11" t="s">
        <v>153</v>
      </c>
      <c r="D104" s="9" t="s">
        <v>1011</v>
      </c>
      <c r="E104" s="144">
        <v>45780</v>
      </c>
      <c r="F104" s="145" t="s">
        <v>1028</v>
      </c>
      <c r="G104" s="76">
        <v>0</v>
      </c>
      <c r="H104" s="76">
        <v>0</v>
      </c>
      <c r="I104" s="20">
        <v>0</v>
      </c>
      <c r="J104" s="76">
        <v>0</v>
      </c>
      <c r="K104" s="66" t="s">
        <v>989</v>
      </c>
      <c r="L104" s="78" t="s">
        <v>1009</v>
      </c>
      <c r="M104" s="78" t="s">
        <v>1009</v>
      </c>
      <c r="N104" s="79"/>
      <c r="O104" s="79"/>
      <c r="P104" s="79"/>
      <c r="Q104" s="11"/>
      <c r="R104" t="str">
        <f t="shared" si="1"/>
        <v>Cerrado</v>
      </c>
      <c r="S104" t="s">
        <v>993</v>
      </c>
    </row>
    <row r="105" spans="1:20" x14ac:dyDescent="0.3">
      <c r="A105">
        <v>104</v>
      </c>
      <c r="B105" s="11" t="s">
        <v>1067</v>
      </c>
      <c r="C105" s="11" t="s">
        <v>154</v>
      </c>
      <c r="D105" s="9" t="s">
        <v>1011</v>
      </c>
      <c r="E105" s="144">
        <v>45780</v>
      </c>
      <c r="F105" s="145" t="s">
        <v>1028</v>
      </c>
      <c r="G105" s="76">
        <v>0</v>
      </c>
      <c r="H105" s="76">
        <v>0</v>
      </c>
      <c r="I105" s="20">
        <v>0</v>
      </c>
      <c r="J105" s="76">
        <v>0</v>
      </c>
      <c r="K105" s="66" t="s">
        <v>989</v>
      </c>
      <c r="L105" s="78" t="s">
        <v>1009</v>
      </c>
      <c r="M105" s="78" t="s">
        <v>1009</v>
      </c>
      <c r="N105" s="79"/>
      <c r="O105" s="79"/>
      <c r="P105" s="79"/>
      <c r="Q105" s="11"/>
      <c r="R105" t="str">
        <f t="shared" si="1"/>
        <v>Cerrado</v>
      </c>
      <c r="S105" t="s">
        <v>993</v>
      </c>
    </row>
    <row r="106" spans="1:20" x14ac:dyDescent="0.3">
      <c r="A106">
        <v>105</v>
      </c>
      <c r="B106" s="1" t="s">
        <v>1062</v>
      </c>
      <c r="C106" s="1" t="s">
        <v>155</v>
      </c>
      <c r="D106" s="117" t="s">
        <v>1011</v>
      </c>
      <c r="E106" s="146">
        <v>45782</v>
      </c>
      <c r="F106" s="147" t="s">
        <v>1028</v>
      </c>
      <c r="G106" s="71">
        <v>50</v>
      </c>
      <c r="H106" s="71">
        <v>0</v>
      </c>
      <c r="I106" s="81">
        <v>0</v>
      </c>
      <c r="J106" s="71">
        <v>0</v>
      </c>
      <c r="K106" s="66" t="s">
        <v>989</v>
      </c>
      <c r="L106" s="73" t="s">
        <v>1009</v>
      </c>
      <c r="M106" s="73" t="s">
        <v>1009</v>
      </c>
      <c r="N106" s="88" t="s">
        <v>1009</v>
      </c>
      <c r="O106" s="74">
        <v>45818</v>
      </c>
      <c r="P106" s="74"/>
      <c r="Q106" s="1">
        <v>1301</v>
      </c>
      <c r="R106" t="str">
        <f t="shared" si="1"/>
        <v>Cerrado</v>
      </c>
      <c r="S106" s="1" t="s">
        <v>995</v>
      </c>
      <c r="T106" s="1"/>
    </row>
    <row r="107" spans="1:20" x14ac:dyDescent="0.3">
      <c r="A107">
        <v>106</v>
      </c>
      <c r="B107" s="2" t="s">
        <v>1057</v>
      </c>
      <c r="C107" s="2" t="s">
        <v>156</v>
      </c>
      <c r="D107" s="9" t="s">
        <v>1011</v>
      </c>
      <c r="E107" s="144">
        <v>45782</v>
      </c>
      <c r="F107" s="145" t="s">
        <v>1021</v>
      </c>
      <c r="G107" s="76">
        <v>0</v>
      </c>
      <c r="H107" s="76">
        <v>0</v>
      </c>
      <c r="I107" s="20">
        <v>0</v>
      </c>
      <c r="J107" s="76">
        <v>0</v>
      </c>
      <c r="K107" s="66" t="s">
        <v>989</v>
      </c>
      <c r="L107" s="78" t="s">
        <v>1009</v>
      </c>
      <c r="M107" s="78" t="s">
        <v>1009</v>
      </c>
      <c r="N107" s="79"/>
      <c r="O107" s="79"/>
      <c r="P107" s="79"/>
      <c r="Q107" s="11"/>
      <c r="R107" t="str">
        <f t="shared" si="1"/>
        <v>Cerrado</v>
      </c>
      <c r="S107" t="s">
        <v>993</v>
      </c>
    </row>
    <row r="108" spans="1:20" x14ac:dyDescent="0.3">
      <c r="A108">
        <v>107</v>
      </c>
      <c r="B108" s="12" t="s">
        <v>1057</v>
      </c>
      <c r="C108" s="12" t="s">
        <v>157</v>
      </c>
      <c r="D108" s="60">
        <v>1598539500</v>
      </c>
      <c r="E108" s="61">
        <v>45783</v>
      </c>
      <c r="F108" s="128" t="s">
        <v>1017</v>
      </c>
      <c r="G108" s="62">
        <v>90</v>
      </c>
      <c r="H108" s="62">
        <v>215</v>
      </c>
      <c r="I108" s="67">
        <v>0</v>
      </c>
      <c r="J108" s="62">
        <v>215</v>
      </c>
      <c r="K108" s="66" t="s">
        <v>989</v>
      </c>
      <c r="L108" s="64" t="s">
        <v>1010</v>
      </c>
      <c r="M108" s="64" t="s">
        <v>1010</v>
      </c>
      <c r="N108" s="55">
        <v>45789</v>
      </c>
      <c r="O108" s="55">
        <v>45818</v>
      </c>
      <c r="P108" s="65">
        <v>45833</v>
      </c>
      <c r="Q108" s="12">
        <v>1289</v>
      </c>
      <c r="R108" t="str">
        <f t="shared" si="1"/>
        <v>Cerrado</v>
      </c>
      <c r="S108" s="12" t="s">
        <v>995</v>
      </c>
      <c r="T108" s="12"/>
    </row>
    <row r="109" spans="1:20" x14ac:dyDescent="0.3">
      <c r="A109">
        <v>108</v>
      </c>
      <c r="B109" s="22" t="s">
        <v>1062</v>
      </c>
      <c r="C109" s="22" t="s">
        <v>158</v>
      </c>
      <c r="D109" s="69" t="s">
        <v>159</v>
      </c>
      <c r="E109" s="146">
        <v>45789</v>
      </c>
      <c r="F109" s="147" t="s">
        <v>1028</v>
      </c>
      <c r="G109" s="71">
        <v>50</v>
      </c>
      <c r="H109" s="71">
        <v>0</v>
      </c>
      <c r="I109" s="81">
        <v>0</v>
      </c>
      <c r="J109" s="71">
        <v>0</v>
      </c>
      <c r="K109" s="66" t="s">
        <v>989</v>
      </c>
      <c r="L109" s="73" t="s">
        <v>1009</v>
      </c>
      <c r="M109" s="73" t="s">
        <v>1009</v>
      </c>
      <c r="N109" s="74">
        <v>45820</v>
      </c>
      <c r="O109" s="74">
        <v>45848</v>
      </c>
      <c r="P109" s="74"/>
      <c r="Q109" s="1">
        <v>1309</v>
      </c>
      <c r="R109" t="str">
        <f t="shared" si="1"/>
        <v>Abierto</v>
      </c>
      <c r="S109" s="1" t="s">
        <v>994</v>
      </c>
      <c r="T109" s="1"/>
    </row>
    <row r="110" spans="1:20" x14ac:dyDescent="0.3">
      <c r="A110">
        <v>109</v>
      </c>
      <c r="B110" s="2" t="s">
        <v>1057</v>
      </c>
      <c r="C110" s="2" t="s">
        <v>160</v>
      </c>
      <c r="D110" s="9" t="s">
        <v>1011</v>
      </c>
      <c r="E110" s="75">
        <v>45794</v>
      </c>
      <c r="F110" s="145" t="s">
        <v>1025</v>
      </c>
      <c r="G110" s="76">
        <v>0</v>
      </c>
      <c r="H110" s="76">
        <v>0</v>
      </c>
      <c r="I110" s="20">
        <v>0</v>
      </c>
      <c r="J110" s="76">
        <v>0</v>
      </c>
      <c r="K110" s="66" t="s">
        <v>989</v>
      </c>
      <c r="L110" s="78" t="s">
        <v>1009</v>
      </c>
      <c r="M110" s="78" t="s">
        <v>1009</v>
      </c>
      <c r="N110" s="79"/>
      <c r="O110" s="79"/>
      <c r="P110" s="79"/>
      <c r="Q110" s="11"/>
      <c r="R110" t="str">
        <f t="shared" si="1"/>
        <v>Cerrado</v>
      </c>
      <c r="S110" t="s">
        <v>993</v>
      </c>
    </row>
    <row r="111" spans="1:20" x14ac:dyDescent="0.3">
      <c r="A111">
        <v>110</v>
      </c>
      <c r="B111" s="2" t="s">
        <v>1063</v>
      </c>
      <c r="C111" s="2" t="s">
        <v>161</v>
      </c>
      <c r="D111" s="9" t="s">
        <v>1011</v>
      </c>
      <c r="E111" s="75">
        <v>45799</v>
      </c>
      <c r="F111" s="145" t="s">
        <v>1015</v>
      </c>
      <c r="G111" s="76">
        <v>0</v>
      </c>
      <c r="H111" s="76">
        <v>0</v>
      </c>
      <c r="I111" s="20">
        <v>0</v>
      </c>
      <c r="J111" s="76">
        <v>0</v>
      </c>
      <c r="K111" s="66" t="s">
        <v>989</v>
      </c>
      <c r="L111" s="78" t="s">
        <v>1009</v>
      </c>
      <c r="M111" s="78" t="s">
        <v>1009</v>
      </c>
      <c r="N111" s="79"/>
      <c r="O111" s="79"/>
      <c r="P111" s="79"/>
      <c r="Q111" s="11"/>
      <c r="R111" t="str">
        <f t="shared" si="1"/>
        <v>Cerrado</v>
      </c>
      <c r="S111" t="s">
        <v>993</v>
      </c>
    </row>
    <row r="112" spans="1:20" x14ac:dyDescent="0.3">
      <c r="A112">
        <v>111</v>
      </c>
      <c r="B112" s="2" t="s">
        <v>1057</v>
      </c>
      <c r="C112" s="2" t="s">
        <v>162</v>
      </c>
      <c r="D112" s="9" t="s">
        <v>1011</v>
      </c>
      <c r="E112" s="75">
        <v>45800</v>
      </c>
      <c r="F112" s="145" t="s">
        <v>1027</v>
      </c>
      <c r="G112" s="76">
        <v>0</v>
      </c>
      <c r="H112" s="76">
        <v>0</v>
      </c>
      <c r="I112" s="20">
        <v>0</v>
      </c>
      <c r="J112" s="76">
        <v>0</v>
      </c>
      <c r="K112" s="66" t="s">
        <v>989</v>
      </c>
      <c r="L112" s="78" t="s">
        <v>1009</v>
      </c>
      <c r="M112" s="78" t="s">
        <v>1009</v>
      </c>
      <c r="N112" s="79"/>
      <c r="O112" s="79"/>
      <c r="P112" s="79"/>
      <c r="Q112" s="11"/>
      <c r="R112" t="str">
        <f t="shared" si="1"/>
        <v>Cerrado</v>
      </c>
      <c r="S112" t="s">
        <v>993</v>
      </c>
    </row>
    <row r="113" spans="1:20" x14ac:dyDescent="0.3">
      <c r="A113">
        <v>112</v>
      </c>
      <c r="B113" s="2" t="s">
        <v>1067</v>
      </c>
      <c r="C113" s="2" t="s">
        <v>163</v>
      </c>
      <c r="D113" s="9" t="s">
        <v>1011</v>
      </c>
      <c r="E113" s="75">
        <v>45800</v>
      </c>
      <c r="F113" s="145" t="s">
        <v>1037</v>
      </c>
      <c r="G113" s="76">
        <v>0</v>
      </c>
      <c r="H113" s="76">
        <v>0</v>
      </c>
      <c r="I113" s="20">
        <v>0</v>
      </c>
      <c r="J113" s="76">
        <v>0</v>
      </c>
      <c r="K113" s="66" t="s">
        <v>989</v>
      </c>
      <c r="L113" s="78" t="s">
        <v>1009</v>
      </c>
      <c r="M113" s="78" t="s">
        <v>1009</v>
      </c>
      <c r="N113" s="79"/>
      <c r="O113" s="79"/>
      <c r="P113" s="79"/>
      <c r="Q113" s="11"/>
      <c r="R113" t="str">
        <f t="shared" si="1"/>
        <v>Cerrado</v>
      </c>
      <c r="S113" t="s">
        <v>993</v>
      </c>
    </row>
    <row r="114" spans="1:20" x14ac:dyDescent="0.3">
      <c r="A114">
        <v>113</v>
      </c>
      <c r="B114" s="22" t="s">
        <v>1062</v>
      </c>
      <c r="C114" s="22" t="s">
        <v>164</v>
      </c>
      <c r="D114" s="117" t="s">
        <v>1011</v>
      </c>
      <c r="E114" s="70">
        <v>45802</v>
      </c>
      <c r="F114" s="147" t="s">
        <v>1013</v>
      </c>
      <c r="G114" s="71">
        <v>50</v>
      </c>
      <c r="H114" s="71">
        <v>0</v>
      </c>
      <c r="I114" s="81">
        <v>0</v>
      </c>
      <c r="J114" s="71">
        <v>0</v>
      </c>
      <c r="K114" s="66" t="s">
        <v>989</v>
      </c>
      <c r="L114" s="73" t="s">
        <v>1009</v>
      </c>
      <c r="M114" s="73" t="s">
        <v>1009</v>
      </c>
      <c r="N114" s="74">
        <v>45820</v>
      </c>
      <c r="O114" s="74">
        <v>45848</v>
      </c>
      <c r="P114" s="74"/>
      <c r="Q114" s="1">
        <v>1310</v>
      </c>
      <c r="R114" t="str">
        <f t="shared" si="1"/>
        <v>Abierto</v>
      </c>
      <c r="S114" s="1" t="s">
        <v>994</v>
      </c>
      <c r="T114" s="1"/>
    </row>
    <row r="115" spans="1:20" x14ac:dyDescent="0.3">
      <c r="A115">
        <v>114</v>
      </c>
      <c r="B115" s="2" t="s">
        <v>1062</v>
      </c>
      <c r="C115" s="2" t="s">
        <v>165</v>
      </c>
      <c r="D115" s="9" t="s">
        <v>1011</v>
      </c>
      <c r="E115" s="75">
        <v>45802</v>
      </c>
      <c r="F115" s="145" t="s">
        <v>1031</v>
      </c>
      <c r="G115" s="76">
        <v>0</v>
      </c>
      <c r="H115" s="76">
        <v>0</v>
      </c>
      <c r="I115" s="20">
        <v>0</v>
      </c>
      <c r="J115" s="76">
        <v>0</v>
      </c>
      <c r="K115" s="66" t="s">
        <v>989</v>
      </c>
      <c r="L115" s="78" t="s">
        <v>1009</v>
      </c>
      <c r="M115" s="78" t="s">
        <v>1009</v>
      </c>
      <c r="N115" s="79"/>
      <c r="O115" s="79"/>
      <c r="P115" s="79"/>
      <c r="Q115" s="11"/>
      <c r="R115" t="str">
        <f t="shared" si="1"/>
        <v>Cerrado</v>
      </c>
      <c r="S115" t="s">
        <v>993</v>
      </c>
    </row>
    <row r="116" spans="1:20" x14ac:dyDescent="0.3">
      <c r="A116">
        <v>115</v>
      </c>
      <c r="B116" s="13" t="s">
        <v>1057</v>
      </c>
      <c r="C116" s="13" t="s">
        <v>166</v>
      </c>
      <c r="D116" s="60">
        <v>2757751914</v>
      </c>
      <c r="E116" s="61">
        <v>45804</v>
      </c>
      <c r="F116" s="149" t="s">
        <v>1017</v>
      </c>
      <c r="G116" s="62">
        <v>90</v>
      </c>
      <c r="H116" s="62">
        <v>201.27</v>
      </c>
      <c r="I116" s="67">
        <v>0</v>
      </c>
      <c r="J116" s="62">
        <v>3808</v>
      </c>
      <c r="K116" s="66" t="s">
        <v>998</v>
      </c>
      <c r="L116" s="64" t="s">
        <v>1010</v>
      </c>
      <c r="M116" s="64" t="s">
        <v>1010</v>
      </c>
      <c r="N116" s="65">
        <v>45859</v>
      </c>
      <c r="O116" s="65">
        <v>45879</v>
      </c>
      <c r="P116" s="65">
        <v>45954</v>
      </c>
      <c r="Q116" s="12">
        <v>1323</v>
      </c>
      <c r="R116" t="str">
        <f t="shared" si="1"/>
        <v>Cerrado</v>
      </c>
      <c r="S116" s="12" t="s">
        <v>995</v>
      </c>
      <c r="T116" s="12"/>
    </row>
    <row r="117" spans="1:20" x14ac:dyDescent="0.3">
      <c r="A117">
        <v>116</v>
      </c>
      <c r="B117" s="13" t="s">
        <v>1067</v>
      </c>
      <c r="C117" s="13" t="s">
        <v>167</v>
      </c>
      <c r="D117" s="60" t="s">
        <v>168</v>
      </c>
      <c r="E117" s="61">
        <v>45804</v>
      </c>
      <c r="F117" s="149" t="s">
        <v>1028</v>
      </c>
      <c r="G117" s="62">
        <v>80</v>
      </c>
      <c r="H117" s="62">
        <v>30</v>
      </c>
      <c r="I117" s="81">
        <v>0</v>
      </c>
      <c r="J117" s="62">
        <v>36600</v>
      </c>
      <c r="K117" s="66" t="s">
        <v>990</v>
      </c>
      <c r="L117" s="64" t="s">
        <v>1010</v>
      </c>
      <c r="M117" s="64" t="s">
        <v>1010</v>
      </c>
      <c r="N117" s="65">
        <v>45820</v>
      </c>
      <c r="O117" s="65">
        <v>45848</v>
      </c>
      <c r="P117" s="65">
        <v>45940</v>
      </c>
      <c r="Q117" s="12">
        <v>1313</v>
      </c>
      <c r="R117" t="str">
        <f t="shared" si="1"/>
        <v>Cerrado</v>
      </c>
      <c r="S117" s="1" t="s">
        <v>995</v>
      </c>
      <c r="T117" s="1"/>
    </row>
    <row r="118" spans="1:20" s="12" customFormat="1" x14ac:dyDescent="0.3">
      <c r="A118">
        <v>117</v>
      </c>
      <c r="B118" s="13" t="s">
        <v>1067</v>
      </c>
      <c r="C118" s="13" t="s">
        <v>169</v>
      </c>
      <c r="D118" s="15" t="s">
        <v>1011</v>
      </c>
      <c r="E118" s="61">
        <v>45804</v>
      </c>
      <c r="F118" s="149" t="s">
        <v>1028</v>
      </c>
      <c r="G118" s="62">
        <v>50</v>
      </c>
      <c r="H118" s="62">
        <v>0</v>
      </c>
      <c r="I118" s="20">
        <v>0</v>
      </c>
      <c r="J118" s="62">
        <v>0</v>
      </c>
      <c r="K118" s="66" t="s">
        <v>989</v>
      </c>
      <c r="L118" s="64" t="s">
        <v>1009</v>
      </c>
      <c r="M118" s="64" t="s">
        <v>1009</v>
      </c>
      <c r="N118" s="65">
        <v>45820</v>
      </c>
      <c r="O118" s="65">
        <v>45848</v>
      </c>
      <c r="P118" s="65">
        <v>45940</v>
      </c>
      <c r="R118" t="str">
        <f t="shared" si="1"/>
        <v>Cerrado</v>
      </c>
      <c r="S118" t="s">
        <v>995</v>
      </c>
      <c r="T118"/>
    </row>
    <row r="119" spans="1:20" x14ac:dyDescent="0.3">
      <c r="A119">
        <v>118</v>
      </c>
      <c r="B119" s="2" t="s">
        <v>1062</v>
      </c>
      <c r="C119" s="2" t="s">
        <v>170</v>
      </c>
      <c r="D119" s="9" t="s">
        <v>1011</v>
      </c>
      <c r="E119" s="75">
        <v>45804</v>
      </c>
      <c r="F119" s="145" t="s">
        <v>1030</v>
      </c>
      <c r="G119" s="76">
        <v>0</v>
      </c>
      <c r="H119" s="76">
        <v>0</v>
      </c>
      <c r="I119" s="20">
        <v>0</v>
      </c>
      <c r="J119" s="76">
        <v>0</v>
      </c>
      <c r="K119" s="66" t="s">
        <v>989</v>
      </c>
      <c r="L119" s="78" t="s">
        <v>1009</v>
      </c>
      <c r="M119" s="78" t="s">
        <v>1009</v>
      </c>
      <c r="N119" s="79"/>
      <c r="O119" s="79"/>
      <c r="P119" s="79"/>
      <c r="Q119" s="11"/>
      <c r="R119" t="str">
        <f t="shared" si="1"/>
        <v>Cerrado</v>
      </c>
      <c r="S119" t="s">
        <v>993</v>
      </c>
    </row>
    <row r="120" spans="1:20" x14ac:dyDescent="0.3">
      <c r="A120">
        <v>119</v>
      </c>
      <c r="B120" s="11" t="s">
        <v>1063</v>
      </c>
      <c r="C120" s="11" t="s">
        <v>171</v>
      </c>
      <c r="D120" s="9" t="s">
        <v>1011</v>
      </c>
      <c r="E120" s="75">
        <v>45808</v>
      </c>
      <c r="F120" s="130" t="s">
        <v>1025</v>
      </c>
      <c r="G120" s="76">
        <v>0</v>
      </c>
      <c r="H120" s="76">
        <v>0</v>
      </c>
      <c r="I120" s="20">
        <v>0</v>
      </c>
      <c r="J120" s="76">
        <v>0</v>
      </c>
      <c r="K120" s="66" t="s">
        <v>989</v>
      </c>
      <c r="L120" s="78" t="s">
        <v>1009</v>
      </c>
      <c r="M120" s="78" t="s">
        <v>1009</v>
      </c>
      <c r="N120" s="79"/>
      <c r="O120" s="79"/>
      <c r="P120" s="79"/>
      <c r="Q120" s="11"/>
      <c r="R120" t="str">
        <f t="shared" si="1"/>
        <v>Cerrado</v>
      </c>
      <c r="S120" t="s">
        <v>993</v>
      </c>
    </row>
    <row r="121" spans="1:20" x14ac:dyDescent="0.3">
      <c r="A121">
        <v>120</v>
      </c>
      <c r="B121" s="11" t="s">
        <v>1063</v>
      </c>
      <c r="C121" s="11" t="s">
        <v>171</v>
      </c>
      <c r="D121" s="9" t="s">
        <v>1011</v>
      </c>
      <c r="E121" s="75">
        <v>45808</v>
      </c>
      <c r="F121" s="130" t="s">
        <v>1025</v>
      </c>
      <c r="G121" s="76">
        <v>0</v>
      </c>
      <c r="H121" s="76">
        <v>0</v>
      </c>
      <c r="I121" s="20">
        <v>0</v>
      </c>
      <c r="J121" s="76">
        <v>0</v>
      </c>
      <c r="K121" s="66" t="s">
        <v>989</v>
      </c>
      <c r="L121" s="78" t="s">
        <v>1009</v>
      </c>
      <c r="M121" s="78" t="s">
        <v>1009</v>
      </c>
      <c r="N121" s="79"/>
      <c r="O121" s="79"/>
      <c r="P121" s="79"/>
      <c r="Q121" s="11"/>
      <c r="R121" t="str">
        <f t="shared" si="1"/>
        <v>Cerrado</v>
      </c>
      <c r="S121" t="s">
        <v>993</v>
      </c>
    </row>
    <row r="122" spans="1:20" s="12" customFormat="1" x14ac:dyDescent="0.3">
      <c r="A122">
        <v>121</v>
      </c>
      <c r="B122" s="12" t="s">
        <v>1057</v>
      </c>
      <c r="C122" s="12" t="s">
        <v>172</v>
      </c>
      <c r="D122" s="60">
        <v>3026809417</v>
      </c>
      <c r="E122" s="61">
        <v>45815</v>
      </c>
      <c r="F122" s="128" t="s">
        <v>1018</v>
      </c>
      <c r="G122" s="62">
        <v>90</v>
      </c>
      <c r="H122" s="62" t="s">
        <v>173</v>
      </c>
      <c r="I122" s="67">
        <v>0</v>
      </c>
      <c r="J122" s="62" t="s">
        <v>1078</v>
      </c>
      <c r="K122" s="66" t="s">
        <v>989</v>
      </c>
      <c r="L122" s="64" t="s">
        <v>1010</v>
      </c>
      <c r="M122" s="64" t="s">
        <v>1010</v>
      </c>
      <c r="N122" s="65">
        <v>45859</v>
      </c>
      <c r="O122" s="65">
        <v>45879</v>
      </c>
      <c r="P122" s="65">
        <v>45954</v>
      </c>
      <c r="Q122" s="12">
        <v>1324</v>
      </c>
      <c r="R122" t="str">
        <f t="shared" si="1"/>
        <v>Cerrado</v>
      </c>
      <c r="S122" s="12" t="s">
        <v>995</v>
      </c>
    </row>
    <row r="123" spans="1:20" x14ac:dyDescent="0.3">
      <c r="A123">
        <v>122</v>
      </c>
      <c r="B123" s="11" t="s">
        <v>1067</v>
      </c>
      <c r="C123" s="11" t="s">
        <v>174</v>
      </c>
      <c r="D123" s="9" t="s">
        <v>1011</v>
      </c>
      <c r="E123" s="75">
        <v>45816</v>
      </c>
      <c r="F123" s="130" t="s">
        <v>1038</v>
      </c>
      <c r="G123" s="76">
        <v>0</v>
      </c>
      <c r="H123" s="76">
        <v>0</v>
      </c>
      <c r="I123" s="20">
        <v>0</v>
      </c>
      <c r="J123" s="76">
        <v>0</v>
      </c>
      <c r="K123" s="66" t="s">
        <v>989</v>
      </c>
      <c r="L123" s="78" t="s">
        <v>1009</v>
      </c>
      <c r="M123" s="78" t="s">
        <v>1009</v>
      </c>
      <c r="N123" s="79"/>
      <c r="O123" s="79"/>
      <c r="P123" s="79"/>
      <c r="Q123" s="11"/>
      <c r="R123" t="str">
        <f t="shared" si="1"/>
        <v>Cerrado</v>
      </c>
      <c r="S123" t="s">
        <v>993</v>
      </c>
    </row>
    <row r="124" spans="1:20" x14ac:dyDescent="0.3">
      <c r="A124">
        <v>123</v>
      </c>
      <c r="B124" s="11" t="s">
        <v>1067</v>
      </c>
      <c r="C124" s="11" t="s">
        <v>175</v>
      </c>
      <c r="D124" s="83" t="s">
        <v>176</v>
      </c>
      <c r="E124" s="75">
        <v>45817</v>
      </c>
      <c r="F124" s="130" t="s">
        <v>1028</v>
      </c>
      <c r="G124" s="76">
        <v>0</v>
      </c>
      <c r="H124" s="76">
        <v>0</v>
      </c>
      <c r="I124" s="20">
        <v>0</v>
      </c>
      <c r="J124" s="76">
        <v>0</v>
      </c>
      <c r="K124" s="66" t="s">
        <v>989</v>
      </c>
      <c r="L124" s="78" t="s">
        <v>1009</v>
      </c>
      <c r="M124" s="78" t="s">
        <v>1009</v>
      </c>
      <c r="N124" s="79"/>
      <c r="O124" s="79"/>
      <c r="P124" s="79"/>
      <c r="Q124" s="11"/>
      <c r="R124" t="str">
        <f t="shared" si="1"/>
        <v>Cerrado</v>
      </c>
      <c r="S124" t="s">
        <v>993</v>
      </c>
    </row>
    <row r="125" spans="1:20" s="12" customFormat="1" x14ac:dyDescent="0.3">
      <c r="A125">
        <v>124</v>
      </c>
      <c r="B125" s="12" t="s">
        <v>1060</v>
      </c>
      <c r="C125" s="12" t="s">
        <v>177</v>
      </c>
      <c r="D125" s="60" t="s">
        <v>178</v>
      </c>
      <c r="E125" s="61">
        <v>45818</v>
      </c>
      <c r="F125" s="128" t="s">
        <v>1024</v>
      </c>
      <c r="G125" s="62">
        <v>80</v>
      </c>
      <c r="H125" s="62">
        <v>140</v>
      </c>
      <c r="I125" s="67">
        <v>0</v>
      </c>
      <c r="J125" s="62">
        <v>141</v>
      </c>
      <c r="K125" s="66" t="s">
        <v>989</v>
      </c>
      <c r="L125" s="64" t="s">
        <v>1010</v>
      </c>
      <c r="M125" s="64" t="s">
        <v>1010</v>
      </c>
      <c r="N125" s="65">
        <v>45910</v>
      </c>
      <c r="O125" s="65">
        <v>45940</v>
      </c>
      <c r="P125" s="65">
        <v>45943</v>
      </c>
      <c r="Q125" s="12" t="s">
        <v>179</v>
      </c>
      <c r="R125" t="str">
        <f t="shared" si="1"/>
        <v>Cerrado</v>
      </c>
      <c r="S125" s="12" t="s">
        <v>995</v>
      </c>
    </row>
    <row r="126" spans="1:20" x14ac:dyDescent="0.3">
      <c r="A126">
        <v>125</v>
      </c>
      <c r="B126" s="11" t="s">
        <v>1062</v>
      </c>
      <c r="C126" s="11" t="s">
        <v>180</v>
      </c>
      <c r="D126" s="9" t="s">
        <v>1011</v>
      </c>
      <c r="E126" s="75">
        <v>45820</v>
      </c>
      <c r="F126" s="130" t="s">
        <v>1039</v>
      </c>
      <c r="G126" s="76">
        <v>0</v>
      </c>
      <c r="H126" s="76">
        <v>0</v>
      </c>
      <c r="I126" s="89">
        <v>0</v>
      </c>
      <c r="J126" s="76">
        <v>0</v>
      </c>
      <c r="K126" s="66" t="s">
        <v>989</v>
      </c>
      <c r="L126" s="78" t="s">
        <v>1009</v>
      </c>
      <c r="M126" s="78" t="s">
        <v>1009</v>
      </c>
      <c r="N126" s="79"/>
      <c r="O126" s="79"/>
      <c r="P126" s="79"/>
      <c r="Q126" s="11"/>
      <c r="R126" t="str">
        <f t="shared" si="1"/>
        <v>Cerrado</v>
      </c>
      <c r="S126" s="11" t="s">
        <v>993</v>
      </c>
      <c r="T126" s="11"/>
    </row>
    <row r="127" spans="1:20" s="12" customFormat="1" x14ac:dyDescent="0.3">
      <c r="A127">
        <v>126</v>
      </c>
      <c r="B127" s="12" t="s">
        <v>1060</v>
      </c>
      <c r="C127" s="12" t="s">
        <v>181</v>
      </c>
      <c r="D127" s="60" t="s">
        <v>182</v>
      </c>
      <c r="E127" s="61">
        <v>45821</v>
      </c>
      <c r="F127" s="128" t="s">
        <v>1018</v>
      </c>
      <c r="G127" s="62">
        <v>70</v>
      </c>
      <c r="H127" s="62" t="s">
        <v>183</v>
      </c>
      <c r="I127" s="67">
        <v>0</v>
      </c>
      <c r="J127" s="62" t="s">
        <v>183</v>
      </c>
      <c r="K127" s="66" t="s">
        <v>989</v>
      </c>
      <c r="L127" s="64" t="s">
        <v>1010</v>
      </c>
      <c r="M127" s="64" t="s">
        <v>1010</v>
      </c>
      <c r="N127" s="65">
        <v>45848</v>
      </c>
      <c r="O127" s="65">
        <v>45879</v>
      </c>
      <c r="P127" s="65"/>
      <c r="Q127" s="68">
        <v>45888</v>
      </c>
      <c r="R127" t="str">
        <f t="shared" si="1"/>
        <v>Cerrado</v>
      </c>
      <c r="S127" s="12" t="s">
        <v>995</v>
      </c>
    </row>
    <row r="128" spans="1:20" x14ac:dyDescent="0.3">
      <c r="A128">
        <v>127</v>
      </c>
      <c r="B128" s="11" t="s">
        <v>1057</v>
      </c>
      <c r="C128" s="11" t="s">
        <v>184</v>
      </c>
      <c r="D128" s="9" t="s">
        <v>1011</v>
      </c>
      <c r="E128" s="75">
        <v>45822</v>
      </c>
      <c r="F128" s="130" t="s">
        <v>1040</v>
      </c>
      <c r="G128" s="76">
        <v>0</v>
      </c>
      <c r="H128" s="76">
        <v>0</v>
      </c>
      <c r="I128" s="20">
        <v>0</v>
      </c>
      <c r="J128" s="76">
        <v>0</v>
      </c>
      <c r="K128" s="66" t="s">
        <v>989</v>
      </c>
      <c r="L128" s="78" t="s">
        <v>1009</v>
      </c>
      <c r="M128" s="78" t="s">
        <v>1009</v>
      </c>
      <c r="N128" s="79"/>
      <c r="O128" s="79"/>
      <c r="P128" s="79"/>
      <c r="Q128" s="11"/>
      <c r="R128" t="str">
        <f t="shared" si="1"/>
        <v>Cerrado</v>
      </c>
      <c r="S128" t="s">
        <v>993</v>
      </c>
    </row>
    <row r="129" spans="1:20" x14ac:dyDescent="0.3">
      <c r="A129">
        <v>128</v>
      </c>
      <c r="B129" s="11" t="s">
        <v>1067</v>
      </c>
      <c r="C129" s="11" t="s">
        <v>185</v>
      </c>
      <c r="D129" s="9" t="s">
        <v>1011</v>
      </c>
      <c r="E129" s="75">
        <v>45825</v>
      </c>
      <c r="F129" s="130" t="s">
        <v>1028</v>
      </c>
      <c r="G129" s="76">
        <v>0</v>
      </c>
      <c r="H129" s="76">
        <v>0</v>
      </c>
      <c r="I129" s="20">
        <v>0</v>
      </c>
      <c r="J129" s="76">
        <v>0</v>
      </c>
      <c r="K129" s="66" t="s">
        <v>989</v>
      </c>
      <c r="L129" s="78" t="s">
        <v>1009</v>
      </c>
      <c r="M129" s="78" t="s">
        <v>1009</v>
      </c>
      <c r="N129" s="79"/>
      <c r="O129" s="79"/>
      <c r="P129" s="79"/>
      <c r="Q129" s="11"/>
      <c r="R129" t="str">
        <f t="shared" si="1"/>
        <v>Cerrado</v>
      </c>
      <c r="S129" t="s">
        <v>993</v>
      </c>
    </row>
    <row r="130" spans="1:20" s="28" customFormat="1" x14ac:dyDescent="0.3">
      <c r="A130">
        <v>129</v>
      </c>
      <c r="B130" s="11" t="s">
        <v>1057</v>
      </c>
      <c r="C130" s="11" t="s">
        <v>186</v>
      </c>
      <c r="D130" s="9" t="s">
        <v>1011</v>
      </c>
      <c r="E130" s="75">
        <v>45826</v>
      </c>
      <c r="F130" s="130" t="s">
        <v>1041</v>
      </c>
      <c r="G130" s="76">
        <v>0</v>
      </c>
      <c r="H130" s="76">
        <v>0</v>
      </c>
      <c r="I130" s="20">
        <v>0</v>
      </c>
      <c r="J130" s="76">
        <v>0</v>
      </c>
      <c r="K130" s="66" t="s">
        <v>989</v>
      </c>
      <c r="L130" s="78" t="s">
        <v>1009</v>
      </c>
      <c r="M130" s="78" t="s">
        <v>1009</v>
      </c>
      <c r="N130" s="79"/>
      <c r="O130" s="79"/>
      <c r="P130" s="79"/>
      <c r="Q130" s="11"/>
      <c r="R130" t="str">
        <f t="shared" ref="R130:R193" si="2">IF(OR(S130="On Going", S130="Refacturado", S130="Para Refacturar"), "Abierto", IF(OR(S130="Cobrado", S130="No Fee"), "Cerrado", ""))</f>
        <v>Cerrado</v>
      </c>
      <c r="S130" t="s">
        <v>993</v>
      </c>
      <c r="T130"/>
    </row>
    <row r="131" spans="1:20" x14ac:dyDescent="0.3">
      <c r="A131">
        <v>130</v>
      </c>
      <c r="B131" s="11" t="s">
        <v>1063</v>
      </c>
      <c r="C131" s="11" t="s">
        <v>187</v>
      </c>
      <c r="D131" s="9" t="s">
        <v>1011</v>
      </c>
      <c r="E131" s="75">
        <v>45826</v>
      </c>
      <c r="F131" s="130" t="s">
        <v>1042</v>
      </c>
      <c r="G131" s="76">
        <v>0</v>
      </c>
      <c r="H131" s="76">
        <v>0</v>
      </c>
      <c r="I131" s="20">
        <v>0</v>
      </c>
      <c r="J131" s="76">
        <v>0</v>
      </c>
      <c r="K131" s="66" t="s">
        <v>989</v>
      </c>
      <c r="L131" s="78" t="s">
        <v>1009</v>
      </c>
      <c r="M131" s="78" t="s">
        <v>1009</v>
      </c>
      <c r="N131" s="79"/>
      <c r="O131" s="79"/>
      <c r="P131" s="79"/>
      <c r="Q131" s="11"/>
      <c r="R131" t="str">
        <f t="shared" si="2"/>
        <v>Cerrado</v>
      </c>
      <c r="S131" t="s">
        <v>993</v>
      </c>
    </row>
    <row r="132" spans="1:20" x14ac:dyDescent="0.3">
      <c r="A132">
        <v>131</v>
      </c>
      <c r="B132" s="11" t="s">
        <v>1067</v>
      </c>
      <c r="C132" s="11" t="s">
        <v>188</v>
      </c>
      <c r="D132" s="9" t="s">
        <v>1011</v>
      </c>
      <c r="E132" s="75">
        <v>45826</v>
      </c>
      <c r="F132" s="130" t="s">
        <v>1028</v>
      </c>
      <c r="G132" s="76">
        <v>0</v>
      </c>
      <c r="H132" s="76">
        <v>0</v>
      </c>
      <c r="I132" s="20">
        <v>0</v>
      </c>
      <c r="J132" s="76">
        <v>0</v>
      </c>
      <c r="K132" s="66" t="s">
        <v>989</v>
      </c>
      <c r="L132" s="78" t="s">
        <v>1009</v>
      </c>
      <c r="M132" s="78" t="s">
        <v>1009</v>
      </c>
      <c r="N132" s="79"/>
      <c r="O132" s="79"/>
      <c r="P132" s="79"/>
      <c r="Q132" s="11"/>
      <c r="R132" t="str">
        <f t="shared" si="2"/>
        <v>Cerrado</v>
      </c>
      <c r="S132" t="s">
        <v>993</v>
      </c>
    </row>
    <row r="133" spans="1:20" x14ac:dyDescent="0.3">
      <c r="A133">
        <v>132</v>
      </c>
      <c r="B133" s="11" t="s">
        <v>1057</v>
      </c>
      <c r="C133" s="11" t="s">
        <v>189</v>
      </c>
      <c r="D133" s="9" t="s">
        <v>1011</v>
      </c>
      <c r="E133" s="75">
        <v>45833</v>
      </c>
      <c r="F133" s="130" t="s">
        <v>1015</v>
      </c>
      <c r="G133" s="76">
        <v>0</v>
      </c>
      <c r="H133" s="76">
        <v>0</v>
      </c>
      <c r="I133" s="20">
        <v>0</v>
      </c>
      <c r="J133" s="76">
        <v>0</v>
      </c>
      <c r="K133" s="66" t="s">
        <v>989</v>
      </c>
      <c r="L133" s="78" t="s">
        <v>1009</v>
      </c>
      <c r="M133" s="78" t="s">
        <v>1009</v>
      </c>
      <c r="N133" s="79"/>
      <c r="O133" s="79"/>
      <c r="P133" s="79"/>
      <c r="Q133" s="11"/>
      <c r="R133" t="str">
        <f t="shared" si="2"/>
        <v>Cerrado</v>
      </c>
      <c r="S133" t="s">
        <v>993</v>
      </c>
    </row>
    <row r="134" spans="1:20" x14ac:dyDescent="0.3">
      <c r="A134">
        <v>133</v>
      </c>
      <c r="B134" s="11" t="s">
        <v>1057</v>
      </c>
      <c r="C134" s="11" t="s">
        <v>190</v>
      </c>
      <c r="D134" s="9" t="s">
        <v>1011</v>
      </c>
      <c r="E134" s="75">
        <v>45836</v>
      </c>
      <c r="F134" s="130" t="s">
        <v>1028</v>
      </c>
      <c r="G134" s="76">
        <v>0</v>
      </c>
      <c r="H134" s="76">
        <v>0</v>
      </c>
      <c r="I134" s="20">
        <v>0</v>
      </c>
      <c r="J134" s="76">
        <v>0</v>
      </c>
      <c r="K134" s="66" t="s">
        <v>989</v>
      </c>
      <c r="L134" s="78" t="s">
        <v>1009</v>
      </c>
      <c r="M134" s="78" t="s">
        <v>1009</v>
      </c>
      <c r="N134" s="79"/>
      <c r="O134" s="79"/>
      <c r="P134" s="79"/>
      <c r="Q134" s="11"/>
      <c r="R134" t="str">
        <f t="shared" si="2"/>
        <v>Cerrado</v>
      </c>
      <c r="S134" t="s">
        <v>993</v>
      </c>
    </row>
    <row r="135" spans="1:20" x14ac:dyDescent="0.3">
      <c r="A135">
        <v>134</v>
      </c>
      <c r="B135" s="12" t="s">
        <v>1067</v>
      </c>
      <c r="C135" s="12" t="s">
        <v>191</v>
      </c>
      <c r="D135" s="60" t="s">
        <v>192</v>
      </c>
      <c r="E135" s="61">
        <v>45837</v>
      </c>
      <c r="F135" s="128" t="s">
        <v>1028</v>
      </c>
      <c r="G135" s="62">
        <v>80</v>
      </c>
      <c r="H135" s="62">
        <v>1700</v>
      </c>
      <c r="I135" s="81">
        <v>0</v>
      </c>
      <c r="J135" s="62">
        <v>1700</v>
      </c>
      <c r="K135" s="66" t="s">
        <v>989</v>
      </c>
      <c r="L135" s="64" t="s">
        <v>1010</v>
      </c>
      <c r="M135" s="64" t="s">
        <v>1010</v>
      </c>
      <c r="N135" s="65">
        <v>45852</v>
      </c>
      <c r="O135" s="65">
        <v>45879</v>
      </c>
      <c r="P135" s="65">
        <v>45940</v>
      </c>
      <c r="Q135" s="12">
        <v>1315</v>
      </c>
      <c r="R135" t="str">
        <f t="shared" si="2"/>
        <v>Cerrado</v>
      </c>
      <c r="S135" s="1" t="s">
        <v>995</v>
      </c>
      <c r="T135" s="1"/>
    </row>
    <row r="136" spans="1:20" x14ac:dyDescent="0.3">
      <c r="A136">
        <v>135</v>
      </c>
      <c r="B136" s="11" t="s">
        <v>1060</v>
      </c>
      <c r="C136" s="11" t="s">
        <v>193</v>
      </c>
      <c r="D136" s="83" t="s">
        <v>194</v>
      </c>
      <c r="E136" s="75">
        <v>45837</v>
      </c>
      <c r="F136" s="130" t="s">
        <v>1024</v>
      </c>
      <c r="G136" s="76">
        <v>0</v>
      </c>
      <c r="H136" s="76">
        <v>0</v>
      </c>
      <c r="I136" s="20">
        <v>0</v>
      </c>
      <c r="J136" s="76">
        <v>0</v>
      </c>
      <c r="K136" s="66" t="s">
        <v>989</v>
      </c>
      <c r="L136" s="78" t="s">
        <v>1009</v>
      </c>
      <c r="M136" s="78" t="s">
        <v>1009</v>
      </c>
      <c r="N136" s="79"/>
      <c r="O136" s="79"/>
      <c r="P136" s="79"/>
      <c r="Q136" s="11"/>
      <c r="R136" t="str">
        <f t="shared" si="2"/>
        <v>Cerrado</v>
      </c>
      <c r="S136" t="s">
        <v>993</v>
      </c>
    </row>
    <row r="137" spans="1:20" x14ac:dyDescent="0.3">
      <c r="A137">
        <v>136</v>
      </c>
      <c r="B137" s="11" t="s">
        <v>1063</v>
      </c>
      <c r="C137" s="11" t="s">
        <v>195</v>
      </c>
      <c r="D137" s="9" t="s">
        <v>1011</v>
      </c>
      <c r="E137" s="75">
        <v>45839</v>
      </c>
      <c r="F137" s="130" t="s">
        <v>1043</v>
      </c>
      <c r="G137" s="76">
        <v>0</v>
      </c>
      <c r="H137" s="76">
        <v>0</v>
      </c>
      <c r="I137" s="20">
        <v>0</v>
      </c>
      <c r="J137" s="76">
        <v>0</v>
      </c>
      <c r="K137" s="66" t="s">
        <v>989</v>
      </c>
      <c r="L137" s="78" t="s">
        <v>1009</v>
      </c>
      <c r="M137" s="78" t="s">
        <v>1009</v>
      </c>
      <c r="N137" s="79"/>
      <c r="O137" s="79"/>
      <c r="P137" s="79"/>
      <c r="Q137" s="11"/>
      <c r="R137" t="str">
        <f t="shared" si="2"/>
        <v>Cerrado</v>
      </c>
      <c r="S137" t="s">
        <v>993</v>
      </c>
    </row>
    <row r="138" spans="1:20" s="1" customFormat="1" x14ac:dyDescent="0.3">
      <c r="A138">
        <v>137</v>
      </c>
      <c r="B138" s="12" t="s">
        <v>1067</v>
      </c>
      <c r="C138" s="12" t="s">
        <v>196</v>
      </c>
      <c r="D138" s="60" t="s">
        <v>197</v>
      </c>
      <c r="E138" s="61">
        <v>45841</v>
      </c>
      <c r="F138" s="128" t="s">
        <v>1028</v>
      </c>
      <c r="G138" s="62">
        <v>80</v>
      </c>
      <c r="H138" s="62">
        <v>1700</v>
      </c>
      <c r="I138" s="81">
        <v>0</v>
      </c>
      <c r="J138" s="62">
        <v>1700</v>
      </c>
      <c r="K138" s="66" t="s">
        <v>989</v>
      </c>
      <c r="L138" s="64" t="s">
        <v>1010</v>
      </c>
      <c r="M138" s="64" t="s">
        <v>1010</v>
      </c>
      <c r="N138" s="65">
        <v>45874</v>
      </c>
      <c r="O138" s="65">
        <v>45910</v>
      </c>
      <c r="P138" s="65">
        <v>45940</v>
      </c>
      <c r="Q138" s="12">
        <v>1330</v>
      </c>
      <c r="R138" t="str">
        <f t="shared" si="2"/>
        <v>Cerrado</v>
      </c>
      <c r="S138" s="1" t="s">
        <v>995</v>
      </c>
    </row>
    <row r="139" spans="1:20" x14ac:dyDescent="0.3">
      <c r="A139">
        <v>138</v>
      </c>
      <c r="B139" s="1" t="s">
        <v>1061</v>
      </c>
      <c r="C139" s="1" t="s">
        <v>198</v>
      </c>
      <c r="D139" s="69" t="s">
        <v>199</v>
      </c>
      <c r="E139" s="70">
        <v>45842</v>
      </c>
      <c r="F139" s="127" t="s">
        <v>1022</v>
      </c>
      <c r="G139" s="71">
        <v>80</v>
      </c>
      <c r="H139" s="71">
        <v>278.12</v>
      </c>
      <c r="I139" s="81">
        <v>0</v>
      </c>
      <c r="J139" s="71" t="s">
        <v>1002</v>
      </c>
      <c r="K139" s="66" t="s">
        <v>989</v>
      </c>
      <c r="L139" s="73" t="s">
        <v>1010</v>
      </c>
      <c r="M139" s="73" t="s">
        <v>1010</v>
      </c>
      <c r="N139" s="74">
        <v>45859</v>
      </c>
      <c r="O139" s="74">
        <v>45879</v>
      </c>
      <c r="P139" s="74"/>
      <c r="Q139" s="1">
        <v>1322</v>
      </c>
      <c r="R139" t="str">
        <f t="shared" si="2"/>
        <v>Abierto</v>
      </c>
      <c r="S139" s="1" t="s">
        <v>994</v>
      </c>
      <c r="T139" s="1"/>
    </row>
    <row r="140" spans="1:20" x14ac:dyDescent="0.3">
      <c r="A140">
        <v>139</v>
      </c>
      <c r="B140" s="11" t="s">
        <v>1067</v>
      </c>
      <c r="C140" s="11" t="s">
        <v>200</v>
      </c>
      <c r="D140" s="9" t="s">
        <v>1011</v>
      </c>
      <c r="E140" s="75">
        <v>45844</v>
      </c>
      <c r="F140" s="130" t="s">
        <v>1036</v>
      </c>
      <c r="G140" s="76">
        <v>0</v>
      </c>
      <c r="H140" s="76">
        <v>0</v>
      </c>
      <c r="I140" s="20">
        <v>0</v>
      </c>
      <c r="J140" s="76">
        <v>0</v>
      </c>
      <c r="K140" s="66" t="s">
        <v>989</v>
      </c>
      <c r="L140" s="78" t="s">
        <v>1009</v>
      </c>
      <c r="M140" s="78" t="s">
        <v>1009</v>
      </c>
      <c r="N140" s="79"/>
      <c r="O140" s="79"/>
      <c r="P140" s="79"/>
      <c r="Q140" s="11"/>
      <c r="R140" t="str">
        <f t="shared" si="2"/>
        <v>Cerrado</v>
      </c>
      <c r="S140" t="s">
        <v>993</v>
      </c>
    </row>
    <row r="141" spans="1:20" s="12" customFormat="1" x14ac:dyDescent="0.3">
      <c r="A141">
        <v>140</v>
      </c>
      <c r="B141" s="12" t="s">
        <v>1057</v>
      </c>
      <c r="C141" s="12" t="s">
        <v>201</v>
      </c>
      <c r="D141" s="60">
        <v>2266706483</v>
      </c>
      <c r="E141" s="61">
        <v>45845</v>
      </c>
      <c r="F141" s="128" t="s">
        <v>1044</v>
      </c>
      <c r="G141" s="62">
        <v>90</v>
      </c>
      <c r="H141" s="62">
        <v>0</v>
      </c>
      <c r="I141" s="67">
        <v>0</v>
      </c>
      <c r="J141" s="62">
        <v>0</v>
      </c>
      <c r="K141" s="66" t="s">
        <v>989</v>
      </c>
      <c r="L141" s="64" t="s">
        <v>1009</v>
      </c>
      <c r="M141" s="64" t="s">
        <v>1009</v>
      </c>
      <c r="N141" s="65">
        <v>45874</v>
      </c>
      <c r="O141" s="65">
        <v>45910</v>
      </c>
      <c r="P141" s="65">
        <v>45954</v>
      </c>
      <c r="Q141" s="12">
        <v>1332</v>
      </c>
      <c r="R141" t="str">
        <f t="shared" si="2"/>
        <v>Cerrado</v>
      </c>
      <c r="S141" s="12" t="s">
        <v>995</v>
      </c>
    </row>
    <row r="142" spans="1:20" x14ac:dyDescent="0.3">
      <c r="A142">
        <v>141</v>
      </c>
      <c r="B142" s="11" t="s">
        <v>1067</v>
      </c>
      <c r="C142" s="11" t="s">
        <v>202</v>
      </c>
      <c r="D142" s="9" t="s">
        <v>1011</v>
      </c>
      <c r="E142" s="75">
        <v>45846</v>
      </c>
      <c r="F142" s="130" t="s">
        <v>1028</v>
      </c>
      <c r="G142" s="76">
        <v>0</v>
      </c>
      <c r="H142" s="76">
        <v>0</v>
      </c>
      <c r="I142" s="20">
        <v>0</v>
      </c>
      <c r="J142" s="76">
        <v>0</v>
      </c>
      <c r="K142" s="66" t="s">
        <v>989</v>
      </c>
      <c r="L142" s="78" t="s">
        <v>1009</v>
      </c>
      <c r="M142" s="78" t="s">
        <v>1009</v>
      </c>
      <c r="N142" s="79"/>
      <c r="O142" s="79"/>
      <c r="P142" s="79"/>
      <c r="Q142" s="11"/>
      <c r="R142" t="str">
        <f t="shared" si="2"/>
        <v>Cerrado</v>
      </c>
      <c r="S142" t="s">
        <v>993</v>
      </c>
    </row>
    <row r="143" spans="1:20" x14ac:dyDescent="0.3">
      <c r="A143">
        <v>142</v>
      </c>
      <c r="B143" s="11" t="s">
        <v>1072</v>
      </c>
      <c r="C143" s="11" t="s">
        <v>203</v>
      </c>
      <c r="D143" s="9" t="s">
        <v>1011</v>
      </c>
      <c r="E143" s="75">
        <v>45847</v>
      </c>
      <c r="F143" s="130" t="s">
        <v>1016</v>
      </c>
      <c r="G143" s="76">
        <v>0</v>
      </c>
      <c r="H143" s="76">
        <v>0</v>
      </c>
      <c r="I143" s="20">
        <v>0</v>
      </c>
      <c r="J143" s="76">
        <v>0</v>
      </c>
      <c r="K143" s="66" t="s">
        <v>989</v>
      </c>
      <c r="L143" s="78" t="s">
        <v>1009</v>
      </c>
      <c r="M143" s="78" t="s">
        <v>1009</v>
      </c>
      <c r="N143" s="79"/>
      <c r="O143" s="79"/>
      <c r="P143" s="79"/>
      <c r="Q143" s="11"/>
      <c r="R143" t="str">
        <f t="shared" si="2"/>
        <v>Cerrado</v>
      </c>
      <c r="S143" t="s">
        <v>993</v>
      </c>
    </row>
    <row r="144" spans="1:20" x14ac:dyDescent="0.3">
      <c r="A144">
        <v>143</v>
      </c>
      <c r="B144" s="1" t="s">
        <v>1071</v>
      </c>
      <c r="C144" s="1" t="s">
        <v>204</v>
      </c>
      <c r="D144" s="69" t="s">
        <v>205</v>
      </c>
      <c r="E144" s="70">
        <v>45848</v>
      </c>
      <c r="F144" s="127" t="s">
        <v>1018</v>
      </c>
      <c r="G144" s="71">
        <v>250</v>
      </c>
      <c r="H144" s="71">
        <v>6948.91</v>
      </c>
      <c r="I144" s="20">
        <v>0</v>
      </c>
      <c r="J144" s="71">
        <v>6948.91</v>
      </c>
      <c r="K144" s="66" t="s">
        <v>989</v>
      </c>
      <c r="L144" s="73" t="s">
        <v>1010</v>
      </c>
      <c r="M144" s="73" t="s">
        <v>1010</v>
      </c>
      <c r="N144" s="74">
        <v>45989</v>
      </c>
      <c r="O144" s="74">
        <v>46001</v>
      </c>
      <c r="P144" s="74">
        <v>46044</v>
      </c>
      <c r="Q144" s="1">
        <v>1417</v>
      </c>
      <c r="R144" t="str">
        <f t="shared" si="2"/>
        <v>Abierto</v>
      </c>
      <c r="S144" t="s">
        <v>994</v>
      </c>
    </row>
    <row r="145" spans="1:20" x14ac:dyDescent="0.3">
      <c r="A145">
        <v>144</v>
      </c>
      <c r="B145" s="11" t="s">
        <v>1068</v>
      </c>
      <c r="C145" s="11" t="s">
        <v>206</v>
      </c>
      <c r="D145" s="9" t="s">
        <v>1011</v>
      </c>
      <c r="E145" s="144">
        <v>45849</v>
      </c>
      <c r="F145" s="131" t="s">
        <v>1028</v>
      </c>
      <c r="G145" s="76">
        <v>0</v>
      </c>
      <c r="H145" s="76">
        <v>0</v>
      </c>
      <c r="I145" s="20">
        <v>0</v>
      </c>
      <c r="J145" s="76">
        <v>0</v>
      </c>
      <c r="K145" s="66" t="s">
        <v>989</v>
      </c>
      <c r="L145" s="78" t="s">
        <v>1009</v>
      </c>
      <c r="M145" s="78" t="s">
        <v>1009</v>
      </c>
      <c r="N145" s="79"/>
      <c r="O145" s="79"/>
      <c r="P145" s="79"/>
      <c r="Q145" s="11"/>
      <c r="R145" t="str">
        <f t="shared" si="2"/>
        <v>Cerrado</v>
      </c>
      <c r="S145" t="s">
        <v>993</v>
      </c>
    </row>
    <row r="146" spans="1:20" x14ac:dyDescent="0.3">
      <c r="A146">
        <v>145</v>
      </c>
      <c r="B146" s="11" t="s">
        <v>1057</v>
      </c>
      <c r="C146" s="11" t="s">
        <v>207</v>
      </c>
      <c r="D146" s="9" t="s">
        <v>1011</v>
      </c>
      <c r="E146" s="144">
        <v>45850</v>
      </c>
      <c r="F146" s="131" t="s">
        <v>1030</v>
      </c>
      <c r="G146" s="76">
        <v>0</v>
      </c>
      <c r="H146" s="76">
        <v>0</v>
      </c>
      <c r="I146" s="20">
        <v>0</v>
      </c>
      <c r="J146" s="76">
        <v>0</v>
      </c>
      <c r="K146" s="66" t="s">
        <v>989</v>
      </c>
      <c r="L146" s="78" t="s">
        <v>1009</v>
      </c>
      <c r="M146" s="78" t="s">
        <v>1009</v>
      </c>
      <c r="N146" s="79"/>
      <c r="O146" s="79"/>
      <c r="P146" s="79"/>
      <c r="Q146" s="11"/>
      <c r="R146" t="str">
        <f t="shared" si="2"/>
        <v>Cerrado</v>
      </c>
      <c r="S146" t="s">
        <v>993</v>
      </c>
    </row>
    <row r="147" spans="1:20" x14ac:dyDescent="0.3">
      <c r="A147">
        <v>146</v>
      </c>
      <c r="B147" s="11" t="s">
        <v>1057</v>
      </c>
      <c r="C147" s="11" t="s">
        <v>208</v>
      </c>
      <c r="D147" s="9" t="s">
        <v>1011</v>
      </c>
      <c r="E147" s="75">
        <v>45851</v>
      </c>
      <c r="F147" s="130" t="s">
        <v>1023</v>
      </c>
      <c r="G147" s="76">
        <v>0</v>
      </c>
      <c r="H147" s="76">
        <v>0</v>
      </c>
      <c r="I147" s="20">
        <v>0</v>
      </c>
      <c r="J147" s="76">
        <v>0</v>
      </c>
      <c r="K147" s="66" t="s">
        <v>989</v>
      </c>
      <c r="L147" s="78" t="s">
        <v>1009</v>
      </c>
      <c r="M147" s="78" t="s">
        <v>1009</v>
      </c>
      <c r="N147" s="79"/>
      <c r="O147" s="79"/>
      <c r="P147" s="79"/>
      <c r="Q147" s="11"/>
      <c r="R147" t="str">
        <f t="shared" si="2"/>
        <v>Cerrado</v>
      </c>
      <c r="S147" t="s">
        <v>993</v>
      </c>
    </row>
    <row r="148" spans="1:20" x14ac:dyDescent="0.3">
      <c r="A148">
        <v>147</v>
      </c>
      <c r="B148" s="11" t="s">
        <v>1057</v>
      </c>
      <c r="C148" s="11" t="s">
        <v>209</v>
      </c>
      <c r="D148" s="9" t="s">
        <v>1011</v>
      </c>
      <c r="E148" s="75">
        <v>45851</v>
      </c>
      <c r="F148" s="130" t="s">
        <v>1013</v>
      </c>
      <c r="G148" s="76">
        <v>0</v>
      </c>
      <c r="H148" s="76">
        <v>0</v>
      </c>
      <c r="I148" s="20">
        <v>0</v>
      </c>
      <c r="J148" s="76">
        <v>0</v>
      </c>
      <c r="K148" s="66" t="s">
        <v>989</v>
      </c>
      <c r="L148" s="78" t="s">
        <v>1009</v>
      </c>
      <c r="M148" s="78" t="s">
        <v>1009</v>
      </c>
      <c r="N148" s="79"/>
      <c r="O148" s="79"/>
      <c r="P148" s="79"/>
      <c r="Q148" s="11"/>
      <c r="R148" t="str">
        <f t="shared" si="2"/>
        <v>Cerrado</v>
      </c>
      <c r="S148" t="s">
        <v>993</v>
      </c>
    </row>
    <row r="149" spans="1:20" x14ac:dyDescent="0.3">
      <c r="A149">
        <v>148</v>
      </c>
      <c r="B149" s="12" t="s">
        <v>1060</v>
      </c>
      <c r="C149" s="12" t="s">
        <v>210</v>
      </c>
      <c r="D149" s="60" t="s">
        <v>211</v>
      </c>
      <c r="E149" s="61">
        <v>45852</v>
      </c>
      <c r="F149" s="128" t="s">
        <v>1045</v>
      </c>
      <c r="G149" s="62">
        <v>80</v>
      </c>
      <c r="H149" s="62">
        <v>205.15</v>
      </c>
      <c r="I149" s="67">
        <v>0</v>
      </c>
      <c r="J149" s="62">
        <v>259200</v>
      </c>
      <c r="K149" s="66" t="s">
        <v>990</v>
      </c>
      <c r="L149" s="64" t="s">
        <v>1010</v>
      </c>
      <c r="M149" s="64" t="s">
        <v>1010</v>
      </c>
      <c r="N149" s="65">
        <v>45859</v>
      </c>
      <c r="O149" s="65">
        <v>45879</v>
      </c>
      <c r="P149" s="65">
        <v>45888</v>
      </c>
      <c r="Q149" s="12">
        <v>1327</v>
      </c>
      <c r="R149" t="str">
        <f t="shared" si="2"/>
        <v>Cerrado</v>
      </c>
      <c r="S149" s="12" t="s">
        <v>995</v>
      </c>
      <c r="T149" s="12"/>
    </row>
    <row r="150" spans="1:20" s="12" customFormat="1" x14ac:dyDescent="0.3">
      <c r="A150">
        <v>149</v>
      </c>
      <c r="B150" s="11" t="s">
        <v>1057</v>
      </c>
      <c r="C150" s="11" t="s">
        <v>212</v>
      </c>
      <c r="D150" s="9" t="s">
        <v>1011</v>
      </c>
      <c r="E150" s="75">
        <v>45852</v>
      </c>
      <c r="F150" s="130" t="s">
        <v>1029</v>
      </c>
      <c r="G150" s="76">
        <v>0</v>
      </c>
      <c r="H150" s="76">
        <v>0</v>
      </c>
      <c r="I150" s="20">
        <v>0</v>
      </c>
      <c r="J150" s="76">
        <v>0</v>
      </c>
      <c r="K150" s="66" t="s">
        <v>989</v>
      </c>
      <c r="L150" s="78" t="s">
        <v>1009</v>
      </c>
      <c r="M150" s="78" t="s">
        <v>1009</v>
      </c>
      <c r="N150" s="79"/>
      <c r="O150" s="79"/>
      <c r="P150" s="79"/>
      <c r="Q150" s="11"/>
      <c r="R150" t="str">
        <f t="shared" si="2"/>
        <v>Cerrado</v>
      </c>
      <c r="S150" t="s">
        <v>993</v>
      </c>
      <c r="T150"/>
    </row>
    <row r="151" spans="1:20" x14ac:dyDescent="0.3">
      <c r="A151">
        <v>150</v>
      </c>
      <c r="B151" s="1" t="s">
        <v>1071</v>
      </c>
      <c r="C151" s="1" t="s">
        <v>214</v>
      </c>
      <c r="D151" s="69" t="s">
        <v>215</v>
      </c>
      <c r="E151" s="70">
        <v>45854</v>
      </c>
      <c r="F151" s="127" t="s">
        <v>526</v>
      </c>
      <c r="G151" s="71">
        <v>80</v>
      </c>
      <c r="H151" s="71">
        <v>130</v>
      </c>
      <c r="I151" s="81">
        <v>0</v>
      </c>
      <c r="J151" s="71">
        <v>130</v>
      </c>
      <c r="K151" s="66" t="s">
        <v>989</v>
      </c>
      <c r="L151" s="73" t="s">
        <v>1010</v>
      </c>
      <c r="M151" s="73" t="s">
        <v>1010</v>
      </c>
      <c r="N151" s="74">
        <v>45859</v>
      </c>
      <c r="O151" s="74">
        <v>45879</v>
      </c>
      <c r="P151" s="74"/>
      <c r="Q151" s="1">
        <v>1328</v>
      </c>
      <c r="R151" t="str">
        <f t="shared" si="2"/>
        <v>Abierto</v>
      </c>
      <c r="S151" s="1" t="s">
        <v>994</v>
      </c>
      <c r="T151" s="1"/>
    </row>
    <row r="152" spans="1:20" s="12" customFormat="1" x14ac:dyDescent="0.3">
      <c r="A152">
        <v>151</v>
      </c>
      <c r="B152" s="1" t="s">
        <v>1071</v>
      </c>
      <c r="C152" s="1" t="s">
        <v>216</v>
      </c>
      <c r="D152" s="69" t="s">
        <v>217</v>
      </c>
      <c r="E152" s="70">
        <v>45854</v>
      </c>
      <c r="F152" s="127" t="s">
        <v>1018</v>
      </c>
      <c r="G152" s="71">
        <v>70</v>
      </c>
      <c r="H152" s="71">
        <v>354.84</v>
      </c>
      <c r="I152" s="81">
        <v>0</v>
      </c>
      <c r="J152" s="71" t="s">
        <v>1001</v>
      </c>
      <c r="K152" s="66" t="s">
        <v>989</v>
      </c>
      <c r="L152" s="73" t="s">
        <v>1010</v>
      </c>
      <c r="M152" s="73" t="s">
        <v>1010</v>
      </c>
      <c r="N152" s="74">
        <v>45910</v>
      </c>
      <c r="O152" s="74">
        <v>45940</v>
      </c>
      <c r="P152" s="74"/>
      <c r="Q152" s="1">
        <v>1344</v>
      </c>
      <c r="R152" t="str">
        <f t="shared" si="2"/>
        <v>Abierto</v>
      </c>
      <c r="S152" s="1" t="s">
        <v>994</v>
      </c>
      <c r="T152" s="1"/>
    </row>
    <row r="153" spans="1:20" x14ac:dyDescent="0.3">
      <c r="A153">
        <v>152</v>
      </c>
      <c r="B153" s="12" t="s">
        <v>1057</v>
      </c>
      <c r="C153" s="12" t="s">
        <v>213</v>
      </c>
      <c r="D153" s="60">
        <v>1981598400</v>
      </c>
      <c r="E153" s="61">
        <v>45854</v>
      </c>
      <c r="F153" s="128" t="s">
        <v>1026</v>
      </c>
      <c r="G153" s="62">
        <v>90</v>
      </c>
      <c r="H153" s="62">
        <v>0</v>
      </c>
      <c r="I153" s="67">
        <v>0</v>
      </c>
      <c r="J153" s="62">
        <v>0</v>
      </c>
      <c r="K153" s="66" t="s">
        <v>989</v>
      </c>
      <c r="L153" s="64" t="s">
        <v>1009</v>
      </c>
      <c r="M153" s="64" t="s">
        <v>1009</v>
      </c>
      <c r="N153" s="65">
        <v>45859</v>
      </c>
      <c r="O153" s="65">
        <v>45879</v>
      </c>
      <c r="P153" s="65">
        <v>45954</v>
      </c>
      <c r="Q153" s="12">
        <v>1325</v>
      </c>
      <c r="R153" t="str">
        <f t="shared" si="2"/>
        <v>Cerrado</v>
      </c>
      <c r="S153" s="12" t="s">
        <v>995</v>
      </c>
      <c r="T153" s="12"/>
    </row>
    <row r="154" spans="1:20" x14ac:dyDescent="0.3">
      <c r="A154">
        <v>153</v>
      </c>
      <c r="B154" t="s">
        <v>1057</v>
      </c>
      <c r="C154" t="s">
        <v>218</v>
      </c>
      <c r="D154" s="6">
        <v>1021547205</v>
      </c>
      <c r="E154" s="49">
        <v>45855</v>
      </c>
      <c r="F154" s="132" t="s">
        <v>1013</v>
      </c>
      <c r="G154" s="44">
        <v>90</v>
      </c>
      <c r="H154" s="44">
        <v>0</v>
      </c>
      <c r="I154" s="20">
        <v>0</v>
      </c>
      <c r="J154" s="44">
        <v>0</v>
      </c>
      <c r="K154" s="66" t="s">
        <v>989</v>
      </c>
      <c r="L154" s="7" t="s">
        <v>1009</v>
      </c>
      <c r="M154" s="7" t="s">
        <v>1009</v>
      </c>
      <c r="R154" t="str">
        <f t="shared" si="2"/>
        <v>Abierto</v>
      </c>
      <c r="S154" t="s">
        <v>996</v>
      </c>
    </row>
    <row r="155" spans="1:20" x14ac:dyDescent="0.3">
      <c r="A155">
        <v>154</v>
      </c>
      <c r="B155" t="s">
        <v>1060</v>
      </c>
      <c r="C155" t="s">
        <v>219</v>
      </c>
      <c r="D155" s="6" t="s">
        <v>220</v>
      </c>
      <c r="E155" s="49">
        <v>45855</v>
      </c>
      <c r="F155" s="132" t="s">
        <v>1018</v>
      </c>
      <c r="G155" s="44">
        <v>70</v>
      </c>
      <c r="H155" s="44">
        <v>0</v>
      </c>
      <c r="I155" s="20">
        <v>0</v>
      </c>
      <c r="J155" s="44">
        <v>0</v>
      </c>
      <c r="K155" s="66" t="s">
        <v>989</v>
      </c>
      <c r="L155" s="7" t="s">
        <v>1009</v>
      </c>
      <c r="M155" s="7" t="s">
        <v>1009</v>
      </c>
      <c r="R155" t="str">
        <f t="shared" si="2"/>
        <v>Abierto</v>
      </c>
      <c r="S155" t="s">
        <v>996</v>
      </c>
    </row>
    <row r="156" spans="1:20" x14ac:dyDescent="0.3">
      <c r="A156">
        <v>155</v>
      </c>
      <c r="B156" s="12" t="s">
        <v>1068</v>
      </c>
      <c r="C156" s="12" t="s">
        <v>221</v>
      </c>
      <c r="D156" s="60" t="s">
        <v>222</v>
      </c>
      <c r="E156" s="61">
        <v>45856</v>
      </c>
      <c r="F156" s="128" t="s">
        <v>1028</v>
      </c>
      <c r="G156" s="62">
        <v>80</v>
      </c>
      <c r="H156" s="62">
        <v>625.79999999999995</v>
      </c>
      <c r="I156" s="81">
        <v>0</v>
      </c>
      <c r="J156" s="62">
        <v>533</v>
      </c>
      <c r="K156" s="66" t="s">
        <v>991</v>
      </c>
      <c r="L156" s="64" t="s">
        <v>1009</v>
      </c>
      <c r="M156" s="64" t="s">
        <v>1010</v>
      </c>
      <c r="N156" s="65">
        <v>45910</v>
      </c>
      <c r="O156" s="65">
        <v>45940</v>
      </c>
      <c r="P156" s="65">
        <v>45940</v>
      </c>
      <c r="Q156" s="12">
        <v>1338</v>
      </c>
      <c r="R156" t="str">
        <f t="shared" si="2"/>
        <v>Cerrado</v>
      </c>
      <c r="S156" s="1" t="s">
        <v>995</v>
      </c>
      <c r="T156" s="1"/>
    </row>
    <row r="157" spans="1:20" x14ac:dyDescent="0.3">
      <c r="A157">
        <v>156</v>
      </c>
      <c r="B157" s="11" t="s">
        <v>1067</v>
      </c>
      <c r="C157" s="11" t="s">
        <v>223</v>
      </c>
      <c r="D157" s="9" t="s">
        <v>1011</v>
      </c>
      <c r="E157" s="75">
        <v>45856</v>
      </c>
      <c r="F157" s="130" t="s">
        <v>1028</v>
      </c>
      <c r="G157" s="76">
        <v>0</v>
      </c>
      <c r="H157" s="76">
        <v>0</v>
      </c>
      <c r="I157" s="20">
        <v>0</v>
      </c>
      <c r="J157" s="76">
        <v>0</v>
      </c>
      <c r="K157" s="66" t="s">
        <v>989</v>
      </c>
      <c r="L157" s="78" t="s">
        <v>1009</v>
      </c>
      <c r="M157" s="78" t="s">
        <v>1009</v>
      </c>
      <c r="N157" s="79"/>
      <c r="O157" s="79"/>
      <c r="P157" s="79"/>
      <c r="Q157" s="11"/>
      <c r="R157" t="str">
        <f t="shared" si="2"/>
        <v>Cerrado</v>
      </c>
      <c r="S157" t="s">
        <v>993</v>
      </c>
    </row>
    <row r="158" spans="1:20" s="1" customFormat="1" x14ac:dyDescent="0.3">
      <c r="A158">
        <v>157</v>
      </c>
      <c r="B158" s="12" t="s">
        <v>1060</v>
      </c>
      <c r="C158" s="12" t="s">
        <v>224</v>
      </c>
      <c r="D158" s="60" t="s">
        <v>225</v>
      </c>
      <c r="E158" s="61">
        <v>45858</v>
      </c>
      <c r="F158" s="128" t="s">
        <v>1016</v>
      </c>
      <c r="G158" s="62">
        <v>80</v>
      </c>
      <c r="H158" s="62">
        <v>0</v>
      </c>
      <c r="I158" s="67">
        <v>0</v>
      </c>
      <c r="J158" s="62">
        <v>0</v>
      </c>
      <c r="K158" s="66" t="s">
        <v>989</v>
      </c>
      <c r="L158" s="64" t="s">
        <v>1009</v>
      </c>
      <c r="M158" s="64" t="s">
        <v>1009</v>
      </c>
      <c r="N158" s="65">
        <v>45859</v>
      </c>
      <c r="O158" s="65">
        <v>45879</v>
      </c>
      <c r="P158" s="65">
        <v>45888</v>
      </c>
      <c r="Q158" s="12">
        <v>1326</v>
      </c>
      <c r="R158" t="str">
        <f t="shared" si="2"/>
        <v>Cerrado</v>
      </c>
      <c r="S158" s="12" t="s">
        <v>995</v>
      </c>
      <c r="T158" s="12"/>
    </row>
    <row r="159" spans="1:20" s="12" customFormat="1" x14ac:dyDescent="0.3">
      <c r="A159">
        <v>158</v>
      </c>
      <c r="B159" s="11" t="s">
        <v>1072</v>
      </c>
      <c r="C159" s="11" t="s">
        <v>226</v>
      </c>
      <c r="D159" s="9" t="s">
        <v>1011</v>
      </c>
      <c r="E159" s="75">
        <v>45858</v>
      </c>
      <c r="F159" s="130" t="s">
        <v>1045</v>
      </c>
      <c r="G159" s="76">
        <v>0</v>
      </c>
      <c r="H159" s="76">
        <v>0</v>
      </c>
      <c r="I159" s="20">
        <v>0</v>
      </c>
      <c r="J159" s="76">
        <v>0</v>
      </c>
      <c r="K159" s="66" t="s">
        <v>989</v>
      </c>
      <c r="L159" s="78" t="s">
        <v>1009</v>
      </c>
      <c r="M159" s="78" t="s">
        <v>1009</v>
      </c>
      <c r="N159" s="79"/>
      <c r="O159" s="79"/>
      <c r="P159" s="79"/>
      <c r="Q159" s="11"/>
      <c r="R159" t="str">
        <f t="shared" si="2"/>
        <v>Cerrado</v>
      </c>
      <c r="S159" t="s">
        <v>993</v>
      </c>
      <c r="T159"/>
    </row>
    <row r="160" spans="1:20" x14ac:dyDescent="0.3">
      <c r="A160">
        <v>159</v>
      </c>
      <c r="B160" s="11" t="s">
        <v>1071</v>
      </c>
      <c r="C160" s="2" t="s">
        <v>227</v>
      </c>
      <c r="D160" s="83" t="s">
        <v>228</v>
      </c>
      <c r="E160" s="75">
        <v>45859</v>
      </c>
      <c r="F160" s="130" t="s">
        <v>1018</v>
      </c>
      <c r="G160" s="76">
        <v>0</v>
      </c>
      <c r="H160" s="76">
        <v>0</v>
      </c>
      <c r="I160" s="20">
        <v>0</v>
      </c>
      <c r="J160" s="76">
        <v>0</v>
      </c>
      <c r="K160" s="66" t="s">
        <v>989</v>
      </c>
      <c r="L160" s="78" t="s">
        <v>1009</v>
      </c>
      <c r="M160" s="78" t="s">
        <v>1009</v>
      </c>
      <c r="N160" s="79"/>
      <c r="O160" s="79"/>
      <c r="P160" s="79"/>
      <c r="Q160" s="11"/>
      <c r="R160" t="str">
        <f t="shared" si="2"/>
        <v>Cerrado</v>
      </c>
      <c r="S160" t="s">
        <v>993</v>
      </c>
    </row>
    <row r="161" spans="1:20" x14ac:dyDescent="0.3">
      <c r="A161">
        <v>160</v>
      </c>
      <c r="B161" s="11" t="s">
        <v>1071</v>
      </c>
      <c r="C161" s="2" t="s">
        <v>229</v>
      </c>
      <c r="D161" s="83" t="s">
        <v>230</v>
      </c>
      <c r="E161" s="75">
        <v>45860</v>
      </c>
      <c r="F161" s="130" t="s">
        <v>526</v>
      </c>
      <c r="G161" s="76">
        <v>0</v>
      </c>
      <c r="H161" s="76">
        <v>0</v>
      </c>
      <c r="I161" s="20">
        <v>0</v>
      </c>
      <c r="J161" s="76">
        <v>0</v>
      </c>
      <c r="K161" s="66" t="s">
        <v>989</v>
      </c>
      <c r="L161" s="78" t="s">
        <v>1009</v>
      </c>
      <c r="M161" s="78" t="s">
        <v>1009</v>
      </c>
      <c r="N161" s="79"/>
      <c r="O161" s="79"/>
      <c r="P161" s="79"/>
      <c r="Q161" s="11"/>
      <c r="R161" t="str">
        <f t="shared" si="2"/>
        <v>Cerrado</v>
      </c>
      <c r="S161" t="s">
        <v>993</v>
      </c>
    </row>
    <row r="162" spans="1:20" x14ac:dyDescent="0.3">
      <c r="A162">
        <v>161</v>
      </c>
      <c r="B162" s="11" t="s">
        <v>1067</v>
      </c>
      <c r="C162" s="2" t="s">
        <v>231</v>
      </c>
      <c r="D162" s="9" t="s">
        <v>1011</v>
      </c>
      <c r="E162" s="75">
        <v>45860</v>
      </c>
      <c r="F162" s="130" t="s">
        <v>1028</v>
      </c>
      <c r="G162" s="76">
        <v>0</v>
      </c>
      <c r="H162" s="76">
        <v>0</v>
      </c>
      <c r="I162" s="20">
        <v>0</v>
      </c>
      <c r="J162" s="76">
        <v>0</v>
      </c>
      <c r="K162" s="66" t="s">
        <v>989</v>
      </c>
      <c r="L162" s="78" t="s">
        <v>1009</v>
      </c>
      <c r="M162" s="78" t="s">
        <v>1009</v>
      </c>
      <c r="N162" s="79"/>
      <c r="O162" s="79"/>
      <c r="P162" s="79"/>
      <c r="Q162" s="11"/>
      <c r="R162" t="str">
        <f t="shared" si="2"/>
        <v>Cerrado</v>
      </c>
      <c r="S162" t="s">
        <v>993</v>
      </c>
    </row>
    <row r="163" spans="1:20" x14ac:dyDescent="0.3">
      <c r="A163">
        <v>162</v>
      </c>
      <c r="B163" s="11" t="s">
        <v>1057</v>
      </c>
      <c r="C163" s="2" t="s">
        <v>232</v>
      </c>
      <c r="D163" s="9" t="s">
        <v>1011</v>
      </c>
      <c r="E163" s="75">
        <v>45860</v>
      </c>
      <c r="F163" s="130" t="s">
        <v>1046</v>
      </c>
      <c r="G163" s="76">
        <v>0</v>
      </c>
      <c r="H163" s="76">
        <v>0</v>
      </c>
      <c r="I163" s="20">
        <v>0</v>
      </c>
      <c r="J163" s="76">
        <v>0</v>
      </c>
      <c r="K163" s="66" t="s">
        <v>989</v>
      </c>
      <c r="L163" s="78" t="s">
        <v>1009</v>
      </c>
      <c r="M163" s="78" t="s">
        <v>1009</v>
      </c>
      <c r="N163" s="79"/>
      <c r="O163" s="79"/>
      <c r="P163" s="79"/>
      <c r="Q163" s="11"/>
      <c r="R163" t="str">
        <f t="shared" si="2"/>
        <v>Cerrado</v>
      </c>
      <c r="S163" t="s">
        <v>993</v>
      </c>
    </row>
    <row r="164" spans="1:20" x14ac:dyDescent="0.3">
      <c r="A164">
        <v>163</v>
      </c>
      <c r="B164" s="1" t="s">
        <v>1057</v>
      </c>
      <c r="C164" s="22" t="s">
        <v>233</v>
      </c>
      <c r="D164" s="69">
        <v>1729607030</v>
      </c>
      <c r="E164" s="70">
        <v>45862</v>
      </c>
      <c r="F164" s="127" t="s">
        <v>1021</v>
      </c>
      <c r="G164" s="71">
        <v>90</v>
      </c>
      <c r="H164" s="71">
        <v>255.44</v>
      </c>
      <c r="I164" s="81">
        <v>0</v>
      </c>
      <c r="J164" s="71">
        <v>255.44</v>
      </c>
      <c r="K164" s="66" t="s">
        <v>989</v>
      </c>
      <c r="L164" s="73" t="s">
        <v>1010</v>
      </c>
      <c r="M164" s="73" t="s">
        <v>1010</v>
      </c>
      <c r="N164" s="74">
        <v>45938</v>
      </c>
      <c r="O164" s="74">
        <v>45971</v>
      </c>
      <c r="P164" s="74"/>
      <c r="Q164" s="1">
        <v>1382</v>
      </c>
      <c r="R164" t="str">
        <f t="shared" si="2"/>
        <v>Abierto</v>
      </c>
      <c r="S164" s="1" t="s">
        <v>994</v>
      </c>
      <c r="T164" s="1"/>
    </row>
    <row r="165" spans="1:20" x14ac:dyDescent="0.3">
      <c r="A165">
        <v>164</v>
      </c>
      <c r="B165" s="1" t="s">
        <v>1063</v>
      </c>
      <c r="C165" s="22" t="s">
        <v>236</v>
      </c>
      <c r="D165" s="69" t="s">
        <v>237</v>
      </c>
      <c r="E165" s="70">
        <v>45862</v>
      </c>
      <c r="F165" s="127" t="s">
        <v>1021</v>
      </c>
      <c r="G165" s="71">
        <v>80</v>
      </c>
      <c r="H165" s="71">
        <v>604.66</v>
      </c>
      <c r="I165" s="81">
        <v>0</v>
      </c>
      <c r="J165" s="71">
        <v>0</v>
      </c>
      <c r="K165" s="66" t="s">
        <v>989</v>
      </c>
      <c r="L165" s="73" t="s">
        <v>1010</v>
      </c>
      <c r="M165" s="73" t="s">
        <v>1010</v>
      </c>
      <c r="N165" s="74">
        <v>45910</v>
      </c>
      <c r="O165" s="74">
        <v>45940</v>
      </c>
      <c r="P165" s="74"/>
      <c r="Q165" s="1">
        <v>1343</v>
      </c>
      <c r="R165" t="str">
        <f t="shared" si="2"/>
        <v>Abierto</v>
      </c>
      <c r="S165" s="1" t="s">
        <v>994</v>
      </c>
      <c r="T165" s="1"/>
    </row>
    <row r="166" spans="1:20" s="12" customFormat="1" x14ac:dyDescent="0.3">
      <c r="A166">
        <v>165</v>
      </c>
      <c r="B166" s="12" t="s">
        <v>1071</v>
      </c>
      <c r="C166" s="13" t="s">
        <v>234</v>
      </c>
      <c r="D166" s="60" t="s">
        <v>235</v>
      </c>
      <c r="E166" s="61">
        <v>45862</v>
      </c>
      <c r="F166" s="128" t="s">
        <v>1016</v>
      </c>
      <c r="G166" s="62">
        <v>80</v>
      </c>
      <c r="H166" s="62">
        <v>20</v>
      </c>
      <c r="I166" s="67">
        <v>0</v>
      </c>
      <c r="J166" s="62">
        <v>20</v>
      </c>
      <c r="K166" s="66" t="s">
        <v>989</v>
      </c>
      <c r="L166" s="64" t="s">
        <v>1009</v>
      </c>
      <c r="M166" s="64" t="s">
        <v>1010</v>
      </c>
      <c r="N166" s="65">
        <v>45910</v>
      </c>
      <c r="O166" s="65">
        <v>45940</v>
      </c>
      <c r="P166" s="65">
        <v>46010</v>
      </c>
      <c r="Q166" s="12">
        <v>1345</v>
      </c>
      <c r="R166" t="str">
        <f t="shared" si="2"/>
        <v>Cerrado</v>
      </c>
      <c r="S166" s="12" t="s">
        <v>995</v>
      </c>
    </row>
    <row r="167" spans="1:20" x14ac:dyDescent="0.3">
      <c r="A167">
        <v>166</v>
      </c>
      <c r="B167" s="12" t="s">
        <v>1060</v>
      </c>
      <c r="C167" s="13" t="s">
        <v>238</v>
      </c>
      <c r="D167" s="60" t="s">
        <v>239</v>
      </c>
      <c r="E167" s="61">
        <v>45862</v>
      </c>
      <c r="F167" s="128" t="s">
        <v>1016</v>
      </c>
      <c r="G167" s="62">
        <v>80</v>
      </c>
      <c r="H167" s="62">
        <v>127</v>
      </c>
      <c r="I167" s="67">
        <v>0</v>
      </c>
      <c r="J167" s="62">
        <v>127</v>
      </c>
      <c r="K167" s="66" t="s">
        <v>989</v>
      </c>
      <c r="L167" s="64" t="s">
        <v>1010</v>
      </c>
      <c r="M167" s="64" t="s">
        <v>1010</v>
      </c>
      <c r="N167" s="65">
        <v>45874</v>
      </c>
      <c r="O167" s="65">
        <v>45910</v>
      </c>
      <c r="P167" s="65">
        <v>45943</v>
      </c>
      <c r="Q167" s="12">
        <v>1330</v>
      </c>
      <c r="R167" t="str">
        <f t="shared" si="2"/>
        <v>Cerrado</v>
      </c>
      <c r="S167" s="12" t="s">
        <v>995</v>
      </c>
      <c r="T167" s="12"/>
    </row>
    <row r="168" spans="1:20" s="12" customFormat="1" x14ac:dyDescent="0.3">
      <c r="A168">
        <v>167</v>
      </c>
      <c r="B168" s="1" t="s">
        <v>1063</v>
      </c>
      <c r="C168" s="22" t="s">
        <v>242</v>
      </c>
      <c r="D168" s="69" t="s">
        <v>243</v>
      </c>
      <c r="E168" s="70">
        <v>45863</v>
      </c>
      <c r="F168" s="127" t="s">
        <v>1021</v>
      </c>
      <c r="G168" s="71">
        <v>80</v>
      </c>
      <c r="H168" s="71">
        <v>64.569999999999993</v>
      </c>
      <c r="I168" s="81">
        <v>0</v>
      </c>
      <c r="J168" s="71">
        <v>55</v>
      </c>
      <c r="K168" s="66" t="s">
        <v>989</v>
      </c>
      <c r="L168" s="73" t="s">
        <v>1009</v>
      </c>
      <c r="M168" s="73" t="s">
        <v>1010</v>
      </c>
      <c r="N168" s="74">
        <v>45910</v>
      </c>
      <c r="O168" s="74">
        <v>45940</v>
      </c>
      <c r="P168" s="74"/>
      <c r="Q168" s="1">
        <v>1342</v>
      </c>
      <c r="R168" t="str">
        <f t="shared" si="2"/>
        <v>Abierto</v>
      </c>
      <c r="S168" s="1" t="s">
        <v>994</v>
      </c>
      <c r="T168" s="1"/>
    </row>
    <row r="169" spans="1:20" s="12" customFormat="1" x14ac:dyDescent="0.3">
      <c r="A169">
        <v>168</v>
      </c>
      <c r="B169" s="12" t="s">
        <v>1057</v>
      </c>
      <c r="C169" s="13" t="s">
        <v>240</v>
      </c>
      <c r="D169" s="60">
        <v>3120173437</v>
      </c>
      <c r="E169" s="61">
        <v>45863</v>
      </c>
      <c r="F169" s="128" t="s">
        <v>1015</v>
      </c>
      <c r="G169" s="62">
        <v>90</v>
      </c>
      <c r="H169" s="62" t="s">
        <v>241</v>
      </c>
      <c r="I169" s="67">
        <v>0</v>
      </c>
      <c r="J169" s="62">
        <v>575</v>
      </c>
      <c r="K169" s="66" t="s">
        <v>991</v>
      </c>
      <c r="L169" s="64" t="s">
        <v>1010</v>
      </c>
      <c r="M169" s="64" t="s">
        <v>1010</v>
      </c>
      <c r="N169" s="65">
        <v>45874</v>
      </c>
      <c r="O169" s="65">
        <v>45910</v>
      </c>
      <c r="P169" s="65">
        <v>45954</v>
      </c>
      <c r="Q169" s="12">
        <v>1334</v>
      </c>
      <c r="R169" t="str">
        <f t="shared" si="2"/>
        <v>Cerrado</v>
      </c>
      <c r="S169" s="12" t="s">
        <v>995</v>
      </c>
    </row>
    <row r="170" spans="1:20" x14ac:dyDescent="0.3">
      <c r="A170">
        <v>169</v>
      </c>
      <c r="B170" s="11" t="s">
        <v>1076</v>
      </c>
      <c r="C170" s="2" t="s">
        <v>244</v>
      </c>
      <c r="D170" s="9" t="s">
        <v>1011</v>
      </c>
      <c r="E170" s="75">
        <v>45863</v>
      </c>
      <c r="F170" s="130" t="s">
        <v>1025</v>
      </c>
      <c r="G170" s="76">
        <v>0</v>
      </c>
      <c r="H170" s="76">
        <v>0</v>
      </c>
      <c r="I170" s="20">
        <v>0</v>
      </c>
      <c r="J170" s="76">
        <v>0</v>
      </c>
      <c r="K170" s="66" t="s">
        <v>989</v>
      </c>
      <c r="L170" s="78" t="s">
        <v>1009</v>
      </c>
      <c r="M170" s="78" t="s">
        <v>1009</v>
      </c>
      <c r="N170" s="79"/>
      <c r="O170" s="79"/>
      <c r="P170" s="79"/>
      <c r="Q170" s="11"/>
      <c r="R170" t="str">
        <f t="shared" si="2"/>
        <v>Cerrado</v>
      </c>
      <c r="S170" t="s">
        <v>993</v>
      </c>
    </row>
    <row r="171" spans="1:20" x14ac:dyDescent="0.3">
      <c r="A171">
        <v>170</v>
      </c>
      <c r="B171" s="1" t="s">
        <v>1071</v>
      </c>
      <c r="C171" s="22" t="s">
        <v>245</v>
      </c>
      <c r="D171" s="69" t="s">
        <v>246</v>
      </c>
      <c r="E171" s="70">
        <v>45864</v>
      </c>
      <c r="F171" s="127" t="s">
        <v>1016</v>
      </c>
      <c r="G171" s="71">
        <v>80</v>
      </c>
      <c r="H171" s="71">
        <v>187</v>
      </c>
      <c r="I171" s="81">
        <v>0</v>
      </c>
      <c r="J171" s="71">
        <v>187</v>
      </c>
      <c r="K171" s="66" t="s">
        <v>989</v>
      </c>
      <c r="L171" s="73" t="s">
        <v>1010</v>
      </c>
      <c r="M171" s="73" t="s">
        <v>1010</v>
      </c>
      <c r="N171" s="74">
        <v>45874</v>
      </c>
      <c r="O171" s="74">
        <v>45910</v>
      </c>
      <c r="P171" s="74"/>
      <c r="Q171" s="1">
        <v>1335</v>
      </c>
      <c r="R171" t="str">
        <f t="shared" si="2"/>
        <v>Abierto</v>
      </c>
      <c r="S171" s="1" t="s">
        <v>994</v>
      </c>
      <c r="T171" s="1"/>
    </row>
    <row r="172" spans="1:20" x14ac:dyDescent="0.3">
      <c r="A172">
        <v>171</v>
      </c>
      <c r="B172" s="1" t="s">
        <v>1071</v>
      </c>
      <c r="C172" s="22" t="s">
        <v>247</v>
      </c>
      <c r="D172" s="69" t="s">
        <v>248</v>
      </c>
      <c r="E172" s="70">
        <v>45864</v>
      </c>
      <c r="F172" s="127" t="s">
        <v>1018</v>
      </c>
      <c r="G172" s="71">
        <v>250</v>
      </c>
      <c r="H172" s="71">
        <v>5042.5200000000004</v>
      </c>
      <c r="I172" s="81">
        <v>0</v>
      </c>
      <c r="J172" s="71" t="s">
        <v>1000</v>
      </c>
      <c r="K172" s="66" t="s">
        <v>990</v>
      </c>
      <c r="L172" s="73" t="s">
        <v>1010</v>
      </c>
      <c r="M172" s="73" t="s">
        <v>1010</v>
      </c>
      <c r="N172" s="74">
        <v>46031</v>
      </c>
      <c r="O172" s="74" t="s">
        <v>249</v>
      </c>
      <c r="P172" s="74"/>
      <c r="Q172" s="1">
        <v>1451</v>
      </c>
      <c r="R172" t="str">
        <f t="shared" si="2"/>
        <v>Abierto</v>
      </c>
      <c r="S172" s="1" t="s">
        <v>994</v>
      </c>
      <c r="T172" s="1"/>
    </row>
    <row r="173" spans="1:20" s="1" customFormat="1" x14ac:dyDescent="0.3">
      <c r="A173">
        <v>172</v>
      </c>
      <c r="B173" s="11" t="s">
        <v>1060</v>
      </c>
      <c r="C173" s="2" t="s">
        <v>250</v>
      </c>
      <c r="D173" s="83" t="s">
        <v>251</v>
      </c>
      <c r="E173" s="75">
        <v>45864</v>
      </c>
      <c r="F173" s="130" t="s">
        <v>1019</v>
      </c>
      <c r="G173" s="76">
        <v>0</v>
      </c>
      <c r="H173" s="76">
        <v>0</v>
      </c>
      <c r="I173" s="20">
        <v>0</v>
      </c>
      <c r="J173" s="76">
        <v>0</v>
      </c>
      <c r="K173" s="66" t="s">
        <v>989</v>
      </c>
      <c r="L173" s="78" t="s">
        <v>1009</v>
      </c>
      <c r="M173" s="78" t="s">
        <v>1009</v>
      </c>
      <c r="N173" s="79"/>
      <c r="O173" s="79"/>
      <c r="P173" s="79"/>
      <c r="Q173" s="11"/>
      <c r="R173" t="str">
        <f t="shared" si="2"/>
        <v>Cerrado</v>
      </c>
      <c r="S173" t="s">
        <v>993</v>
      </c>
      <c r="T173"/>
    </row>
    <row r="174" spans="1:20" x14ac:dyDescent="0.3">
      <c r="A174">
        <v>173</v>
      </c>
      <c r="B174" s="11" t="s">
        <v>1063</v>
      </c>
      <c r="C174" s="2" t="s">
        <v>252</v>
      </c>
      <c r="D174" s="9" t="s">
        <v>1011</v>
      </c>
      <c r="E174" s="75">
        <v>45864</v>
      </c>
      <c r="F174" s="130" t="s">
        <v>1019</v>
      </c>
      <c r="G174" s="76">
        <v>0</v>
      </c>
      <c r="H174" s="76">
        <v>0</v>
      </c>
      <c r="I174" s="20">
        <v>0</v>
      </c>
      <c r="J174" s="76">
        <v>0</v>
      </c>
      <c r="K174" s="66" t="s">
        <v>989</v>
      </c>
      <c r="L174" s="78" t="s">
        <v>1009</v>
      </c>
      <c r="M174" s="78" t="s">
        <v>1009</v>
      </c>
      <c r="N174" s="79"/>
      <c r="O174" s="79"/>
      <c r="P174" s="79"/>
      <c r="Q174" s="11"/>
      <c r="R174" t="str">
        <f t="shared" si="2"/>
        <v>Cerrado</v>
      </c>
      <c r="S174" t="s">
        <v>993</v>
      </c>
    </row>
    <row r="175" spans="1:20" x14ac:dyDescent="0.3">
      <c r="A175">
        <v>174</v>
      </c>
      <c r="B175" s="11" t="s">
        <v>1057</v>
      </c>
      <c r="C175" s="2" t="s">
        <v>253</v>
      </c>
      <c r="D175" s="9" t="s">
        <v>1011</v>
      </c>
      <c r="E175" s="75">
        <v>45865</v>
      </c>
      <c r="F175" s="130" t="s">
        <v>1013</v>
      </c>
      <c r="G175" s="76">
        <v>0</v>
      </c>
      <c r="H175" s="76">
        <v>0</v>
      </c>
      <c r="I175" s="20">
        <v>0</v>
      </c>
      <c r="J175" s="76">
        <v>0</v>
      </c>
      <c r="K175" s="66" t="s">
        <v>989</v>
      </c>
      <c r="L175" s="78" t="s">
        <v>1009</v>
      </c>
      <c r="M175" s="78" t="s">
        <v>1009</v>
      </c>
      <c r="N175" s="79"/>
      <c r="O175" s="79"/>
      <c r="P175" s="79"/>
      <c r="Q175" s="11"/>
      <c r="R175" t="str">
        <f t="shared" si="2"/>
        <v>Cerrado</v>
      </c>
      <c r="S175" t="s">
        <v>993</v>
      </c>
    </row>
    <row r="176" spans="1:20" x14ac:dyDescent="0.3">
      <c r="A176">
        <v>175</v>
      </c>
      <c r="B176" s="1" t="s">
        <v>1073</v>
      </c>
      <c r="C176" s="22" t="s">
        <v>254</v>
      </c>
      <c r="D176" s="69" t="s">
        <v>255</v>
      </c>
      <c r="E176" s="70">
        <v>45866</v>
      </c>
      <c r="F176" s="127" t="s">
        <v>1018</v>
      </c>
      <c r="G176" s="71">
        <v>70</v>
      </c>
      <c r="H176" s="71">
        <v>173.11</v>
      </c>
      <c r="I176" s="81">
        <v>0</v>
      </c>
      <c r="J176" s="71">
        <v>173.11</v>
      </c>
      <c r="K176" s="66" t="s">
        <v>989</v>
      </c>
      <c r="L176" s="73" t="s">
        <v>1010</v>
      </c>
      <c r="M176" s="73" t="s">
        <v>1010</v>
      </c>
      <c r="N176" s="74">
        <v>45910</v>
      </c>
      <c r="O176" s="74">
        <v>45940</v>
      </c>
      <c r="P176" s="74"/>
      <c r="Q176" s="1">
        <v>1346</v>
      </c>
      <c r="R176" t="str">
        <f t="shared" si="2"/>
        <v>Abierto</v>
      </c>
      <c r="S176" s="1" t="s">
        <v>994</v>
      </c>
      <c r="T176" s="1"/>
    </row>
    <row r="177" spans="1:20" x14ac:dyDescent="0.3">
      <c r="A177">
        <v>176</v>
      </c>
      <c r="B177" s="11" t="s">
        <v>1057</v>
      </c>
      <c r="C177" s="2" t="s">
        <v>256</v>
      </c>
      <c r="D177" s="9" t="s">
        <v>1011</v>
      </c>
      <c r="E177" s="75">
        <v>45867</v>
      </c>
      <c r="F177" s="130" t="s">
        <v>1047</v>
      </c>
      <c r="G177" s="76">
        <v>0</v>
      </c>
      <c r="H177" s="76">
        <v>0</v>
      </c>
      <c r="I177" s="20">
        <v>0</v>
      </c>
      <c r="J177" s="76">
        <v>0</v>
      </c>
      <c r="K177" s="66" t="s">
        <v>989</v>
      </c>
      <c r="L177" s="78" t="s">
        <v>1009</v>
      </c>
      <c r="M177" s="78" t="s">
        <v>1009</v>
      </c>
      <c r="N177" s="79"/>
      <c r="O177" s="79"/>
      <c r="P177" s="79"/>
      <c r="Q177" s="11"/>
      <c r="R177" t="str">
        <f t="shared" si="2"/>
        <v>Cerrado</v>
      </c>
      <c r="S177" t="s">
        <v>993</v>
      </c>
    </row>
    <row r="178" spans="1:20" x14ac:dyDescent="0.3">
      <c r="A178">
        <v>177</v>
      </c>
      <c r="B178" s="11" t="s">
        <v>1057</v>
      </c>
      <c r="C178" s="2" t="s">
        <v>257</v>
      </c>
      <c r="D178" s="9" t="s">
        <v>1011</v>
      </c>
      <c r="E178" s="75">
        <v>45867</v>
      </c>
      <c r="F178" s="130" t="s">
        <v>1013</v>
      </c>
      <c r="G178" s="76">
        <v>0</v>
      </c>
      <c r="H178" s="76">
        <v>0</v>
      </c>
      <c r="I178" s="20">
        <v>0</v>
      </c>
      <c r="J178" s="76">
        <v>0</v>
      </c>
      <c r="K178" s="66" t="s">
        <v>989</v>
      </c>
      <c r="L178" s="78" t="s">
        <v>1009</v>
      </c>
      <c r="M178" s="78" t="s">
        <v>1009</v>
      </c>
      <c r="N178" s="79"/>
      <c r="O178" s="79"/>
      <c r="P178" s="79"/>
      <c r="Q178" s="11"/>
      <c r="R178" t="str">
        <f t="shared" si="2"/>
        <v>Cerrado</v>
      </c>
      <c r="S178" t="s">
        <v>993</v>
      </c>
    </row>
    <row r="179" spans="1:20" x14ac:dyDescent="0.3">
      <c r="A179">
        <v>178</v>
      </c>
      <c r="B179" s="11" t="s">
        <v>1057</v>
      </c>
      <c r="C179" s="2" t="s">
        <v>258</v>
      </c>
      <c r="D179" s="9" t="s">
        <v>1011</v>
      </c>
      <c r="E179" s="75">
        <v>45867</v>
      </c>
      <c r="F179" s="130" t="s">
        <v>1014</v>
      </c>
      <c r="G179" s="76">
        <v>0</v>
      </c>
      <c r="H179" s="76">
        <v>0</v>
      </c>
      <c r="I179" s="20">
        <v>0</v>
      </c>
      <c r="J179" s="76">
        <v>0</v>
      </c>
      <c r="K179" s="66" t="s">
        <v>989</v>
      </c>
      <c r="L179" s="78" t="s">
        <v>1009</v>
      </c>
      <c r="M179" s="78" t="s">
        <v>1009</v>
      </c>
      <c r="N179" s="79"/>
      <c r="O179" s="79"/>
      <c r="P179" s="79"/>
      <c r="Q179" s="11"/>
      <c r="R179" t="str">
        <f t="shared" si="2"/>
        <v>Cerrado</v>
      </c>
      <c r="S179" t="s">
        <v>993</v>
      </c>
    </row>
    <row r="180" spans="1:20" x14ac:dyDescent="0.3">
      <c r="A180">
        <v>179</v>
      </c>
      <c r="B180" s="1" t="s">
        <v>1073</v>
      </c>
      <c r="C180" s="22" t="s">
        <v>259</v>
      </c>
      <c r="D180" s="1" t="s">
        <v>260</v>
      </c>
      <c r="E180" s="70">
        <v>45868</v>
      </c>
      <c r="F180" s="127" t="s">
        <v>1018</v>
      </c>
      <c r="G180" s="71">
        <v>70</v>
      </c>
      <c r="H180" s="71">
        <v>0</v>
      </c>
      <c r="I180" s="81">
        <v>0</v>
      </c>
      <c r="J180" s="71">
        <v>0</v>
      </c>
      <c r="K180" s="66" t="s">
        <v>989</v>
      </c>
      <c r="L180" s="73" t="s">
        <v>1009</v>
      </c>
      <c r="M180" s="73" t="s">
        <v>1009</v>
      </c>
      <c r="N180" s="74">
        <v>45874</v>
      </c>
      <c r="O180" s="74">
        <v>45910</v>
      </c>
      <c r="P180" s="74"/>
      <c r="Q180" s="1">
        <v>1336</v>
      </c>
      <c r="R180" t="str">
        <f t="shared" si="2"/>
        <v>Abierto</v>
      </c>
      <c r="S180" s="1" t="s">
        <v>994</v>
      </c>
      <c r="T180" s="1"/>
    </row>
    <row r="181" spans="1:20" s="28" customFormat="1" x14ac:dyDescent="0.3">
      <c r="A181">
        <v>180</v>
      </c>
      <c r="B181" s="11" t="s">
        <v>1069</v>
      </c>
      <c r="C181" s="2" t="s">
        <v>261</v>
      </c>
      <c r="D181" s="9" t="s">
        <v>1011</v>
      </c>
      <c r="E181" s="75">
        <v>45869</v>
      </c>
      <c r="F181" s="130" t="s">
        <v>1016</v>
      </c>
      <c r="G181" s="76">
        <v>80</v>
      </c>
      <c r="H181" s="76">
        <v>0</v>
      </c>
      <c r="I181" s="20">
        <v>0</v>
      </c>
      <c r="J181" s="76">
        <v>0</v>
      </c>
      <c r="K181" s="66" t="s">
        <v>989</v>
      </c>
      <c r="L181" s="78" t="s">
        <v>1009</v>
      </c>
      <c r="M181" s="78" t="s">
        <v>1009</v>
      </c>
      <c r="N181" s="79"/>
      <c r="O181" s="79"/>
      <c r="P181" s="79"/>
      <c r="Q181" s="11"/>
      <c r="R181" t="str">
        <f t="shared" si="2"/>
        <v>Cerrado</v>
      </c>
      <c r="S181" t="s">
        <v>993</v>
      </c>
      <c r="T181"/>
    </row>
    <row r="182" spans="1:20" x14ac:dyDescent="0.3">
      <c r="A182">
        <v>181</v>
      </c>
      <c r="B182" s="1" t="s">
        <v>1073</v>
      </c>
      <c r="C182" s="1" t="s">
        <v>262</v>
      </c>
      <c r="D182" s="69" t="s">
        <v>263</v>
      </c>
      <c r="E182" s="70">
        <v>45871</v>
      </c>
      <c r="F182" s="127" t="s">
        <v>526</v>
      </c>
      <c r="G182" s="71">
        <v>80</v>
      </c>
      <c r="H182" s="71">
        <v>230</v>
      </c>
      <c r="I182" s="81">
        <v>0</v>
      </c>
      <c r="J182" s="71">
        <v>230</v>
      </c>
      <c r="K182" s="66" t="s">
        <v>989</v>
      </c>
      <c r="L182" s="73" t="s">
        <v>1010</v>
      </c>
      <c r="M182" s="73" t="s">
        <v>1010</v>
      </c>
      <c r="N182" s="74">
        <v>45910</v>
      </c>
      <c r="O182" s="74">
        <v>45940</v>
      </c>
      <c r="P182" s="74"/>
      <c r="Q182" s="80" t="s">
        <v>264</v>
      </c>
      <c r="R182" t="str">
        <f t="shared" si="2"/>
        <v>Abierto</v>
      </c>
      <c r="S182" s="1" t="s">
        <v>994</v>
      </c>
      <c r="T182" s="1"/>
    </row>
    <row r="183" spans="1:20" x14ac:dyDescent="0.3">
      <c r="A183">
        <v>182</v>
      </c>
      <c r="B183" s="28" t="s">
        <v>1071</v>
      </c>
      <c r="C183" s="28" t="s">
        <v>265</v>
      </c>
      <c r="D183" s="90" t="s">
        <v>266</v>
      </c>
      <c r="E183" s="91">
        <v>45871</v>
      </c>
      <c r="F183" s="133" t="s">
        <v>1018</v>
      </c>
      <c r="G183" s="92">
        <v>70</v>
      </c>
      <c r="H183" s="92">
        <v>95.18</v>
      </c>
      <c r="I183" s="20">
        <v>0</v>
      </c>
      <c r="J183" s="92" t="s">
        <v>999</v>
      </c>
      <c r="K183" s="66" t="s">
        <v>990</v>
      </c>
      <c r="L183" s="93" t="s">
        <v>1010</v>
      </c>
      <c r="M183" s="93" t="s">
        <v>1010</v>
      </c>
      <c r="N183" s="94"/>
      <c r="O183" s="94"/>
      <c r="P183" s="94"/>
      <c r="Q183" s="28"/>
      <c r="R183" t="str">
        <f t="shared" si="2"/>
        <v>Abierto</v>
      </c>
      <c r="S183" t="s">
        <v>997</v>
      </c>
    </row>
    <row r="184" spans="1:20" x14ac:dyDescent="0.3">
      <c r="A184">
        <v>183</v>
      </c>
      <c r="B184" s="1" t="s">
        <v>1073</v>
      </c>
      <c r="C184" s="1" t="s">
        <v>267</v>
      </c>
      <c r="D184" s="69" t="s">
        <v>268</v>
      </c>
      <c r="E184" s="70">
        <v>45872</v>
      </c>
      <c r="F184" s="127" t="s">
        <v>1016</v>
      </c>
      <c r="G184" s="71">
        <v>80</v>
      </c>
      <c r="H184" s="71">
        <v>390</v>
      </c>
      <c r="I184" s="81">
        <v>0</v>
      </c>
      <c r="J184" s="71">
        <v>390</v>
      </c>
      <c r="K184" s="66" t="s">
        <v>989</v>
      </c>
      <c r="L184" s="73" t="s">
        <v>1010</v>
      </c>
      <c r="M184" s="73" t="s">
        <v>1010</v>
      </c>
      <c r="N184" s="74">
        <v>45910</v>
      </c>
      <c r="O184" s="74">
        <v>45940</v>
      </c>
      <c r="P184" s="74"/>
      <c r="Q184" s="1">
        <v>1348</v>
      </c>
      <c r="R184" t="str">
        <f t="shared" si="2"/>
        <v>Abierto</v>
      </c>
      <c r="S184" s="1" t="s">
        <v>994</v>
      </c>
      <c r="T184" s="1"/>
    </row>
    <row r="185" spans="1:20" x14ac:dyDescent="0.3">
      <c r="A185">
        <v>184</v>
      </c>
      <c r="B185" s="11" t="s">
        <v>1057</v>
      </c>
      <c r="C185" s="11" t="s">
        <v>269</v>
      </c>
      <c r="D185" s="9" t="s">
        <v>1011</v>
      </c>
      <c r="E185" s="75">
        <v>45873</v>
      </c>
      <c r="F185" s="130" t="s">
        <v>1013</v>
      </c>
      <c r="G185" s="76">
        <v>0</v>
      </c>
      <c r="H185" s="76">
        <v>0</v>
      </c>
      <c r="I185" s="20">
        <v>0</v>
      </c>
      <c r="J185" s="76">
        <v>0</v>
      </c>
      <c r="K185" s="66" t="s">
        <v>989</v>
      </c>
      <c r="L185" s="78" t="s">
        <v>1009</v>
      </c>
      <c r="M185" s="78" t="s">
        <v>1009</v>
      </c>
      <c r="N185" s="79"/>
      <c r="O185" s="79"/>
      <c r="P185" s="79"/>
      <c r="Q185" s="11"/>
      <c r="R185" t="str">
        <f t="shared" si="2"/>
        <v>Cerrado</v>
      </c>
      <c r="S185" t="s">
        <v>993</v>
      </c>
    </row>
    <row r="186" spans="1:20" x14ac:dyDescent="0.3">
      <c r="A186">
        <v>185</v>
      </c>
      <c r="B186" s="1" t="s">
        <v>1073</v>
      </c>
      <c r="C186" s="1" t="s">
        <v>272</v>
      </c>
      <c r="D186" s="69" t="s">
        <v>273</v>
      </c>
      <c r="E186" s="70">
        <v>45874</v>
      </c>
      <c r="F186" s="127" t="s">
        <v>526</v>
      </c>
      <c r="G186" s="71">
        <v>80</v>
      </c>
      <c r="H186" s="71">
        <v>135</v>
      </c>
      <c r="I186" s="81">
        <v>0</v>
      </c>
      <c r="J186" s="71">
        <v>135</v>
      </c>
      <c r="K186" s="66" t="s">
        <v>989</v>
      </c>
      <c r="L186" s="73" t="s">
        <v>1010</v>
      </c>
      <c r="M186" s="73" t="s">
        <v>1010</v>
      </c>
      <c r="N186" s="74">
        <v>45910</v>
      </c>
      <c r="O186" s="74">
        <v>45940</v>
      </c>
      <c r="P186" s="74"/>
      <c r="Q186" s="1">
        <v>1349</v>
      </c>
      <c r="R186" t="str">
        <f t="shared" si="2"/>
        <v>Abierto</v>
      </c>
      <c r="S186" s="1" t="s">
        <v>994</v>
      </c>
      <c r="T186" s="1"/>
    </row>
    <row r="187" spans="1:20" x14ac:dyDescent="0.3">
      <c r="A187">
        <v>186</v>
      </c>
      <c r="B187" s="11" t="s">
        <v>1071</v>
      </c>
      <c r="C187" s="11" t="s">
        <v>270</v>
      </c>
      <c r="D187" s="83" t="s">
        <v>271</v>
      </c>
      <c r="E187" s="75">
        <v>45874</v>
      </c>
      <c r="F187" s="130" t="s">
        <v>1042</v>
      </c>
      <c r="G187" s="76">
        <v>0</v>
      </c>
      <c r="H187" s="76">
        <v>0</v>
      </c>
      <c r="I187" s="20">
        <v>0</v>
      </c>
      <c r="J187" s="76">
        <v>0</v>
      </c>
      <c r="K187" s="66" t="s">
        <v>989</v>
      </c>
      <c r="L187" s="78" t="s">
        <v>1009</v>
      </c>
      <c r="M187" s="78" t="s">
        <v>1009</v>
      </c>
      <c r="N187" s="79"/>
      <c r="O187" s="79"/>
      <c r="P187" s="79"/>
      <c r="Q187" s="11"/>
      <c r="R187" t="str">
        <f t="shared" si="2"/>
        <v>Cerrado</v>
      </c>
      <c r="S187" t="s">
        <v>993</v>
      </c>
    </row>
    <row r="188" spans="1:20" x14ac:dyDescent="0.3">
      <c r="A188">
        <v>187</v>
      </c>
      <c r="B188" s="11" t="s">
        <v>1073</v>
      </c>
      <c r="C188" s="11" t="s">
        <v>274</v>
      </c>
      <c r="D188" s="9" t="s">
        <v>1011</v>
      </c>
      <c r="E188" s="75">
        <v>45874</v>
      </c>
      <c r="F188" s="130" t="s">
        <v>1047</v>
      </c>
      <c r="G188" s="76">
        <v>0</v>
      </c>
      <c r="H188" s="76">
        <v>0</v>
      </c>
      <c r="I188" s="20">
        <v>0</v>
      </c>
      <c r="J188" s="76">
        <v>0</v>
      </c>
      <c r="K188" s="66" t="s">
        <v>989</v>
      </c>
      <c r="L188" s="78" t="s">
        <v>1009</v>
      </c>
      <c r="M188" s="78" t="s">
        <v>1009</v>
      </c>
      <c r="N188" s="79"/>
      <c r="O188" s="79"/>
      <c r="P188" s="79"/>
      <c r="Q188" s="11"/>
      <c r="R188" t="str">
        <f t="shared" si="2"/>
        <v>Cerrado</v>
      </c>
      <c r="S188" t="s">
        <v>993</v>
      </c>
    </row>
    <row r="189" spans="1:20" x14ac:dyDescent="0.3">
      <c r="A189">
        <v>188</v>
      </c>
      <c r="B189" s="1" t="s">
        <v>1074</v>
      </c>
      <c r="C189" s="1" t="s">
        <v>275</v>
      </c>
      <c r="D189" s="69" t="s">
        <v>276</v>
      </c>
      <c r="E189" s="70">
        <v>45875</v>
      </c>
      <c r="F189" s="127" t="s">
        <v>1047</v>
      </c>
      <c r="G189" s="71">
        <v>80</v>
      </c>
      <c r="H189" s="71">
        <v>601</v>
      </c>
      <c r="I189" s="81">
        <v>0</v>
      </c>
      <c r="J189" s="71">
        <v>601</v>
      </c>
      <c r="K189" s="66" t="s">
        <v>989</v>
      </c>
      <c r="L189" s="73" t="s">
        <v>1010</v>
      </c>
      <c r="M189" s="73" t="s">
        <v>1010</v>
      </c>
      <c r="N189" s="74">
        <v>45936</v>
      </c>
      <c r="O189" s="74">
        <v>45971</v>
      </c>
      <c r="P189" s="74"/>
      <c r="Q189" s="1">
        <v>1359</v>
      </c>
      <c r="R189" t="str">
        <f t="shared" si="2"/>
        <v>Abierto</v>
      </c>
      <c r="S189" s="1" t="s">
        <v>994</v>
      </c>
      <c r="T189" s="1"/>
    </row>
    <row r="190" spans="1:20" s="1" customFormat="1" x14ac:dyDescent="0.3">
      <c r="A190">
        <v>189</v>
      </c>
      <c r="B190" s="1" t="s">
        <v>1074</v>
      </c>
      <c r="C190" s="1" t="s">
        <v>277</v>
      </c>
      <c r="D190" s="69" t="s">
        <v>278</v>
      </c>
      <c r="E190" s="70">
        <v>45875</v>
      </c>
      <c r="F190" s="127" t="s">
        <v>1047</v>
      </c>
      <c r="G190" s="71">
        <v>80</v>
      </c>
      <c r="H190" s="71">
        <v>878</v>
      </c>
      <c r="I190" s="81">
        <v>0</v>
      </c>
      <c r="J190" s="71">
        <v>878</v>
      </c>
      <c r="K190" s="66" t="s">
        <v>989</v>
      </c>
      <c r="L190" s="73" t="s">
        <v>1010</v>
      </c>
      <c r="M190" s="73" t="s">
        <v>1010</v>
      </c>
      <c r="N190" s="74">
        <v>45936</v>
      </c>
      <c r="O190" s="74">
        <v>45971</v>
      </c>
      <c r="P190" s="74"/>
      <c r="Q190" s="1">
        <v>1360</v>
      </c>
      <c r="R190" t="str">
        <f t="shared" si="2"/>
        <v>Abierto</v>
      </c>
      <c r="S190" s="1" t="s">
        <v>994</v>
      </c>
    </row>
    <row r="191" spans="1:20" s="1" customFormat="1" x14ac:dyDescent="0.3">
      <c r="A191">
        <v>190</v>
      </c>
      <c r="B191" s="11" t="s">
        <v>1057</v>
      </c>
      <c r="C191" s="11" t="s">
        <v>279</v>
      </c>
      <c r="D191" s="9" t="s">
        <v>1011</v>
      </c>
      <c r="E191" s="75">
        <v>45876</v>
      </c>
      <c r="F191" s="130" t="s">
        <v>1030</v>
      </c>
      <c r="G191" s="76">
        <v>0</v>
      </c>
      <c r="H191" s="76">
        <v>0</v>
      </c>
      <c r="I191" s="20">
        <v>0</v>
      </c>
      <c r="J191" s="76">
        <v>0</v>
      </c>
      <c r="K191" s="66" t="s">
        <v>989</v>
      </c>
      <c r="L191" s="78" t="s">
        <v>1009</v>
      </c>
      <c r="M191" s="78" t="s">
        <v>1009</v>
      </c>
      <c r="N191" s="79"/>
      <c r="O191" s="79"/>
      <c r="P191" s="79"/>
      <c r="Q191" s="11"/>
      <c r="R191" t="str">
        <f t="shared" si="2"/>
        <v>Cerrado</v>
      </c>
      <c r="S191" t="s">
        <v>993</v>
      </c>
      <c r="T191"/>
    </row>
    <row r="192" spans="1:20" x14ac:dyDescent="0.3">
      <c r="A192">
        <v>191</v>
      </c>
      <c r="B192" s="11" t="s">
        <v>1071</v>
      </c>
      <c r="C192" s="11" t="s">
        <v>280</v>
      </c>
      <c r="D192" s="83" t="s">
        <v>281</v>
      </c>
      <c r="E192" s="75">
        <v>45877</v>
      </c>
      <c r="F192" s="130" t="s">
        <v>1016</v>
      </c>
      <c r="G192" s="76">
        <v>0</v>
      </c>
      <c r="H192" s="76">
        <v>0</v>
      </c>
      <c r="I192" s="20">
        <v>0</v>
      </c>
      <c r="J192" s="76">
        <v>0</v>
      </c>
      <c r="K192" s="66" t="s">
        <v>989</v>
      </c>
      <c r="L192" s="78" t="s">
        <v>1009</v>
      </c>
      <c r="M192" s="78" t="s">
        <v>1009</v>
      </c>
      <c r="N192" s="79"/>
      <c r="O192" s="79"/>
      <c r="P192" s="79"/>
      <c r="Q192" s="11"/>
      <c r="R192" t="str">
        <f t="shared" si="2"/>
        <v>Cerrado</v>
      </c>
      <c r="S192" t="s">
        <v>993</v>
      </c>
    </row>
    <row r="193" spans="1:20" x14ac:dyDescent="0.3">
      <c r="A193">
        <v>192</v>
      </c>
      <c r="B193" s="28" t="s">
        <v>1057</v>
      </c>
      <c r="C193" s="28" t="s">
        <v>282</v>
      </c>
      <c r="D193" s="90">
        <v>3320686386</v>
      </c>
      <c r="E193" s="91">
        <v>45878</v>
      </c>
      <c r="F193" s="133" t="s">
        <v>1038</v>
      </c>
      <c r="G193" s="92">
        <v>80</v>
      </c>
      <c r="H193" s="92" t="s">
        <v>283</v>
      </c>
      <c r="I193" s="20">
        <v>0</v>
      </c>
      <c r="J193" s="92" t="s">
        <v>283</v>
      </c>
      <c r="K193" s="66" t="s">
        <v>989</v>
      </c>
      <c r="L193" s="93" t="s">
        <v>1010</v>
      </c>
      <c r="M193" s="93" t="s">
        <v>1010</v>
      </c>
      <c r="N193" s="94"/>
      <c r="O193" s="94"/>
      <c r="P193" s="94"/>
      <c r="Q193" s="28"/>
      <c r="R193" t="str">
        <f t="shared" si="2"/>
        <v>Abierto</v>
      </c>
      <c r="S193" t="s">
        <v>997</v>
      </c>
    </row>
    <row r="194" spans="1:20" x14ac:dyDescent="0.3">
      <c r="A194">
        <v>193</v>
      </c>
      <c r="B194" s="11" t="s">
        <v>1069</v>
      </c>
      <c r="C194" s="11" t="s">
        <v>284</v>
      </c>
      <c r="D194" s="9" t="s">
        <v>1011</v>
      </c>
      <c r="E194" s="75">
        <v>45879</v>
      </c>
      <c r="F194" s="130" t="s">
        <v>1016</v>
      </c>
      <c r="G194" s="76">
        <v>0</v>
      </c>
      <c r="H194" s="76">
        <v>0</v>
      </c>
      <c r="I194" s="20">
        <v>0</v>
      </c>
      <c r="J194" s="76">
        <v>0</v>
      </c>
      <c r="K194" s="66" t="s">
        <v>989</v>
      </c>
      <c r="L194" s="78" t="s">
        <v>1009</v>
      </c>
      <c r="M194" s="78" t="s">
        <v>1009</v>
      </c>
      <c r="N194" s="79"/>
      <c r="O194" s="79"/>
      <c r="P194" s="79"/>
      <c r="Q194" s="11"/>
      <c r="R194" t="str">
        <f t="shared" ref="R194:R257" si="3">IF(OR(S194="On Going", S194="Refacturado", S194="Para Refacturar"), "Abierto", IF(OR(S194="Cobrado", S194="No Fee"), "Cerrado", ""))</f>
        <v>Cerrado</v>
      </c>
      <c r="S194" t="s">
        <v>993</v>
      </c>
    </row>
    <row r="195" spans="1:20" x14ac:dyDescent="0.3">
      <c r="A195">
        <v>194</v>
      </c>
      <c r="B195" s="11" t="s">
        <v>1057</v>
      </c>
      <c r="C195" s="11" t="s">
        <v>285</v>
      </c>
      <c r="D195" s="9" t="s">
        <v>1011</v>
      </c>
      <c r="E195" s="75">
        <v>45880</v>
      </c>
      <c r="F195" s="130" t="s">
        <v>1040</v>
      </c>
      <c r="G195" s="76">
        <v>0</v>
      </c>
      <c r="H195" s="76">
        <v>0</v>
      </c>
      <c r="I195" s="20">
        <v>0</v>
      </c>
      <c r="J195" s="76">
        <v>0</v>
      </c>
      <c r="K195" s="66" t="s">
        <v>989</v>
      </c>
      <c r="L195" s="78" t="s">
        <v>1009</v>
      </c>
      <c r="M195" s="78" t="s">
        <v>1009</v>
      </c>
      <c r="N195" s="79"/>
      <c r="O195" s="79"/>
      <c r="P195" s="79"/>
      <c r="Q195" s="11"/>
      <c r="R195" t="str">
        <f t="shared" si="3"/>
        <v>Cerrado</v>
      </c>
      <c r="S195" t="s">
        <v>993</v>
      </c>
    </row>
    <row r="196" spans="1:20" x14ac:dyDescent="0.3">
      <c r="A196">
        <v>195</v>
      </c>
      <c r="B196" s="11" t="s">
        <v>1057</v>
      </c>
      <c r="C196" s="11" t="s">
        <v>286</v>
      </c>
      <c r="D196" s="9" t="s">
        <v>1011</v>
      </c>
      <c r="E196" s="75">
        <v>45881</v>
      </c>
      <c r="F196" s="130" t="s">
        <v>1025</v>
      </c>
      <c r="G196" s="76">
        <v>0</v>
      </c>
      <c r="H196" s="76">
        <v>0</v>
      </c>
      <c r="I196" s="20">
        <v>0</v>
      </c>
      <c r="J196" s="76">
        <v>0</v>
      </c>
      <c r="K196" s="66" t="s">
        <v>989</v>
      </c>
      <c r="L196" s="78" t="s">
        <v>1009</v>
      </c>
      <c r="M196" s="78" t="s">
        <v>1009</v>
      </c>
      <c r="N196" s="79"/>
      <c r="O196" s="79"/>
      <c r="P196" s="79"/>
      <c r="Q196" s="11"/>
      <c r="R196" t="str">
        <f t="shared" si="3"/>
        <v>Cerrado</v>
      </c>
      <c r="S196" t="s">
        <v>993</v>
      </c>
    </row>
    <row r="197" spans="1:20" x14ac:dyDescent="0.3">
      <c r="A197">
        <v>196</v>
      </c>
      <c r="B197" s="1" t="s">
        <v>1073</v>
      </c>
      <c r="C197" s="1" t="s">
        <v>287</v>
      </c>
      <c r="D197" s="69" t="s">
        <v>288</v>
      </c>
      <c r="E197" s="70">
        <v>45882</v>
      </c>
      <c r="F197" s="127" t="s">
        <v>1016</v>
      </c>
      <c r="G197" s="71">
        <v>80</v>
      </c>
      <c r="H197" s="71">
        <v>285</v>
      </c>
      <c r="I197" s="81">
        <v>0</v>
      </c>
      <c r="J197" s="71">
        <v>285</v>
      </c>
      <c r="K197" s="66" t="s">
        <v>989</v>
      </c>
      <c r="L197" s="73" t="s">
        <v>1010</v>
      </c>
      <c r="M197" s="73" t="s">
        <v>1009</v>
      </c>
      <c r="N197" s="74">
        <v>45910</v>
      </c>
      <c r="O197" s="74">
        <v>45940</v>
      </c>
      <c r="P197" s="74"/>
      <c r="Q197" s="1">
        <v>1352</v>
      </c>
      <c r="R197" t="str">
        <f t="shared" si="3"/>
        <v>Abierto</v>
      </c>
      <c r="S197" s="1" t="s">
        <v>994</v>
      </c>
      <c r="T197" s="1"/>
    </row>
    <row r="198" spans="1:20" x14ac:dyDescent="0.3">
      <c r="A198">
        <v>197</v>
      </c>
      <c r="B198" s="1" t="s">
        <v>1073</v>
      </c>
      <c r="C198" s="1" t="s">
        <v>289</v>
      </c>
      <c r="D198" s="69" t="s">
        <v>290</v>
      </c>
      <c r="E198" s="70">
        <v>45882</v>
      </c>
      <c r="F198" s="127" t="s">
        <v>526</v>
      </c>
      <c r="G198" s="71">
        <v>80</v>
      </c>
      <c r="H198" s="71">
        <v>140</v>
      </c>
      <c r="I198" s="81">
        <v>0</v>
      </c>
      <c r="J198" s="71">
        <v>140</v>
      </c>
      <c r="K198" s="66" t="s">
        <v>989</v>
      </c>
      <c r="L198" s="73" t="s">
        <v>1010</v>
      </c>
      <c r="M198" s="73" t="s">
        <v>1010</v>
      </c>
      <c r="N198" s="74">
        <v>45910</v>
      </c>
      <c r="O198" s="74">
        <v>45940</v>
      </c>
      <c r="P198" s="74"/>
      <c r="Q198" s="1">
        <v>1353</v>
      </c>
      <c r="R198" t="str">
        <f t="shared" si="3"/>
        <v>Abierto</v>
      </c>
      <c r="S198" s="1" t="s">
        <v>994</v>
      </c>
      <c r="T198" s="1"/>
    </row>
    <row r="199" spans="1:20" x14ac:dyDescent="0.3">
      <c r="A199">
        <v>198</v>
      </c>
      <c r="B199" s="12" t="s">
        <v>1074</v>
      </c>
      <c r="C199" s="12" t="s">
        <v>291</v>
      </c>
      <c r="D199" s="60" t="s">
        <v>292</v>
      </c>
      <c r="E199" s="61">
        <v>45882</v>
      </c>
      <c r="F199" s="128" t="s">
        <v>1048</v>
      </c>
      <c r="G199" s="62">
        <v>80</v>
      </c>
      <c r="H199" s="62">
        <v>20</v>
      </c>
      <c r="I199" s="67">
        <v>0</v>
      </c>
      <c r="J199" s="62">
        <v>20</v>
      </c>
      <c r="K199" s="66" t="s">
        <v>989</v>
      </c>
      <c r="L199" s="64" t="s">
        <v>1009</v>
      </c>
      <c r="M199" s="64" t="s">
        <v>1010</v>
      </c>
      <c r="N199" s="65">
        <v>45910</v>
      </c>
      <c r="O199" s="65">
        <v>45940</v>
      </c>
      <c r="P199" s="65">
        <v>46010</v>
      </c>
      <c r="Q199" s="12">
        <v>1351</v>
      </c>
      <c r="R199" t="str">
        <f t="shared" si="3"/>
        <v>Cerrado</v>
      </c>
      <c r="S199" s="12" t="s">
        <v>995</v>
      </c>
      <c r="T199" s="12"/>
    </row>
    <row r="200" spans="1:20" s="12" customFormat="1" x14ac:dyDescent="0.3">
      <c r="A200">
        <v>199</v>
      </c>
      <c r="B200" s="12" t="s">
        <v>1060</v>
      </c>
      <c r="C200" s="12" t="s">
        <v>295</v>
      </c>
      <c r="D200" s="60" t="s">
        <v>296</v>
      </c>
      <c r="E200" s="61">
        <v>45883</v>
      </c>
      <c r="F200" s="128" t="s">
        <v>1026</v>
      </c>
      <c r="G200" s="62">
        <v>160</v>
      </c>
      <c r="H200" s="62">
        <v>728</v>
      </c>
      <c r="I200" s="67">
        <v>0</v>
      </c>
      <c r="J200" s="62">
        <v>728</v>
      </c>
      <c r="K200" s="66" t="s">
        <v>989</v>
      </c>
      <c r="L200" s="64" t="s">
        <v>1010</v>
      </c>
      <c r="M200" s="64" t="s">
        <v>1010</v>
      </c>
      <c r="N200" s="65">
        <v>45936</v>
      </c>
      <c r="O200" s="65">
        <v>45971</v>
      </c>
      <c r="P200" s="65">
        <v>46024</v>
      </c>
      <c r="Q200" s="12">
        <v>1361</v>
      </c>
      <c r="R200" t="str">
        <f t="shared" si="3"/>
        <v>Cerrado</v>
      </c>
      <c r="S200" s="12" t="s">
        <v>995</v>
      </c>
    </row>
    <row r="201" spans="1:20" s="12" customFormat="1" x14ac:dyDescent="0.3">
      <c r="A201">
        <v>200</v>
      </c>
      <c r="B201" s="11" t="s">
        <v>1063</v>
      </c>
      <c r="C201" s="11" t="s">
        <v>293</v>
      </c>
      <c r="D201" s="83" t="s">
        <v>294</v>
      </c>
      <c r="E201" s="75">
        <v>45883</v>
      </c>
      <c r="F201" s="130" t="s">
        <v>1021</v>
      </c>
      <c r="G201" s="76">
        <v>0</v>
      </c>
      <c r="H201" s="76">
        <v>0</v>
      </c>
      <c r="I201" s="20">
        <v>0</v>
      </c>
      <c r="J201" s="76">
        <v>0</v>
      </c>
      <c r="K201" s="66" t="s">
        <v>989</v>
      </c>
      <c r="L201" s="78" t="s">
        <v>1009</v>
      </c>
      <c r="M201" s="78" t="s">
        <v>1009</v>
      </c>
      <c r="N201" s="79"/>
      <c r="O201" s="79"/>
      <c r="P201" s="79"/>
      <c r="Q201" s="11"/>
      <c r="R201" t="str">
        <f t="shared" si="3"/>
        <v>Cerrado</v>
      </c>
      <c r="S201" t="s">
        <v>993</v>
      </c>
      <c r="T201"/>
    </row>
    <row r="202" spans="1:20" x14ac:dyDescent="0.3">
      <c r="A202">
        <v>201</v>
      </c>
      <c r="B202" s="11" t="s">
        <v>1057</v>
      </c>
      <c r="C202" s="11" t="s">
        <v>297</v>
      </c>
      <c r="D202" s="9" t="s">
        <v>1011</v>
      </c>
      <c r="E202" s="75">
        <v>45884</v>
      </c>
      <c r="F202" s="130" t="s">
        <v>1016</v>
      </c>
      <c r="G202" s="76">
        <v>0</v>
      </c>
      <c r="H202" s="76">
        <v>0</v>
      </c>
      <c r="I202" s="20">
        <v>0</v>
      </c>
      <c r="J202" s="76">
        <v>0</v>
      </c>
      <c r="K202" s="66" t="s">
        <v>989</v>
      </c>
      <c r="L202" s="78" t="s">
        <v>1009</v>
      </c>
      <c r="M202" s="78" t="s">
        <v>1009</v>
      </c>
      <c r="N202" s="79"/>
      <c r="O202" s="79"/>
      <c r="P202" s="79"/>
      <c r="Q202" s="11"/>
      <c r="R202" t="str">
        <f t="shared" si="3"/>
        <v>Cerrado</v>
      </c>
      <c r="S202" t="s">
        <v>993</v>
      </c>
    </row>
    <row r="203" spans="1:20" x14ac:dyDescent="0.3">
      <c r="A203">
        <v>202</v>
      </c>
      <c r="B203" s="11" t="s">
        <v>1063</v>
      </c>
      <c r="C203" s="11" t="s">
        <v>298</v>
      </c>
      <c r="D203" s="83" t="s">
        <v>299</v>
      </c>
      <c r="E203" s="75">
        <v>45885</v>
      </c>
      <c r="F203" s="130" t="s">
        <v>1021</v>
      </c>
      <c r="G203" s="76">
        <v>0</v>
      </c>
      <c r="H203" s="76">
        <v>0</v>
      </c>
      <c r="I203" s="20">
        <v>0</v>
      </c>
      <c r="J203" s="76">
        <v>0</v>
      </c>
      <c r="K203" s="66" t="s">
        <v>989</v>
      </c>
      <c r="L203" s="78" t="s">
        <v>1009</v>
      </c>
      <c r="M203" s="78" t="s">
        <v>1009</v>
      </c>
      <c r="N203" s="79"/>
      <c r="O203" s="79"/>
      <c r="P203" s="79"/>
      <c r="Q203" s="11"/>
      <c r="R203" t="str">
        <f t="shared" si="3"/>
        <v>Cerrado</v>
      </c>
      <c r="S203" t="s">
        <v>993</v>
      </c>
    </row>
    <row r="204" spans="1:20" x14ac:dyDescent="0.3">
      <c r="A204">
        <v>203</v>
      </c>
      <c r="B204" s="11" t="s">
        <v>1063</v>
      </c>
      <c r="C204" s="11" t="s">
        <v>300</v>
      </c>
      <c r="D204" s="9" t="s">
        <v>1011</v>
      </c>
      <c r="E204" s="75">
        <v>45885</v>
      </c>
      <c r="F204" s="130" t="s">
        <v>1021</v>
      </c>
      <c r="G204" s="76">
        <v>0</v>
      </c>
      <c r="H204" s="76">
        <v>0</v>
      </c>
      <c r="I204" s="20">
        <v>0</v>
      </c>
      <c r="J204" s="76">
        <v>0</v>
      </c>
      <c r="K204" s="66" t="s">
        <v>989</v>
      </c>
      <c r="L204" s="78" t="s">
        <v>1009</v>
      </c>
      <c r="M204" s="78" t="s">
        <v>1009</v>
      </c>
      <c r="N204" s="79"/>
      <c r="O204" s="79"/>
      <c r="P204" s="79"/>
      <c r="Q204" s="11"/>
      <c r="R204" t="str">
        <f t="shared" si="3"/>
        <v>Cerrado</v>
      </c>
      <c r="S204" t="s">
        <v>993</v>
      </c>
    </row>
    <row r="205" spans="1:20" x14ac:dyDescent="0.3">
      <c r="A205">
        <v>204</v>
      </c>
      <c r="B205" s="11" t="s">
        <v>1071</v>
      </c>
      <c r="C205" s="11" t="s">
        <v>301</v>
      </c>
      <c r="D205" s="83" t="s">
        <v>302</v>
      </c>
      <c r="E205" s="75">
        <v>45886</v>
      </c>
      <c r="F205" s="130" t="s">
        <v>1049</v>
      </c>
      <c r="G205" s="76">
        <v>0</v>
      </c>
      <c r="H205" s="76">
        <v>0</v>
      </c>
      <c r="I205" s="20">
        <v>0</v>
      </c>
      <c r="J205" s="76">
        <v>0</v>
      </c>
      <c r="K205" s="66" t="s">
        <v>989</v>
      </c>
      <c r="L205" s="78" t="s">
        <v>1009</v>
      </c>
      <c r="M205" s="78" t="s">
        <v>1009</v>
      </c>
      <c r="N205" s="79"/>
      <c r="O205" s="79"/>
      <c r="P205" s="79"/>
      <c r="Q205" s="11"/>
      <c r="R205" t="str">
        <f t="shared" si="3"/>
        <v>Cerrado</v>
      </c>
      <c r="S205" t="s">
        <v>993</v>
      </c>
    </row>
    <row r="206" spans="1:20" s="12" customFormat="1" x14ac:dyDescent="0.3">
      <c r="A206">
        <v>205</v>
      </c>
      <c r="B206" s="8" t="s">
        <v>1059</v>
      </c>
      <c r="C206" s="11" t="s">
        <v>303</v>
      </c>
      <c r="D206" s="9" t="s">
        <v>1011</v>
      </c>
      <c r="E206" s="75">
        <v>45886</v>
      </c>
      <c r="F206" s="130" t="s">
        <v>1024</v>
      </c>
      <c r="G206" s="76">
        <v>0</v>
      </c>
      <c r="H206" s="76">
        <v>0</v>
      </c>
      <c r="I206" s="20">
        <v>0</v>
      </c>
      <c r="J206" s="76">
        <v>0</v>
      </c>
      <c r="K206" s="66" t="s">
        <v>989</v>
      </c>
      <c r="L206" s="78" t="s">
        <v>1009</v>
      </c>
      <c r="M206" s="78" t="s">
        <v>1009</v>
      </c>
      <c r="N206" s="79"/>
      <c r="O206" s="79"/>
      <c r="P206" s="79"/>
      <c r="Q206" s="11"/>
      <c r="R206" t="str">
        <f t="shared" si="3"/>
        <v>Cerrado</v>
      </c>
      <c r="S206" t="s">
        <v>993</v>
      </c>
      <c r="T206"/>
    </row>
    <row r="207" spans="1:20" x14ac:dyDescent="0.3">
      <c r="A207">
        <v>206</v>
      </c>
      <c r="B207" s="42" t="s">
        <v>1071</v>
      </c>
      <c r="C207" s="42" t="s">
        <v>304</v>
      </c>
      <c r="D207" s="6" t="s">
        <v>305</v>
      </c>
      <c r="E207" s="150">
        <v>45887</v>
      </c>
      <c r="F207" s="151" t="s">
        <v>1042</v>
      </c>
      <c r="G207" s="44">
        <v>80</v>
      </c>
      <c r="H207" s="44">
        <v>0</v>
      </c>
      <c r="I207" s="20">
        <v>0</v>
      </c>
      <c r="J207" s="44">
        <v>0</v>
      </c>
      <c r="K207" s="66" t="s">
        <v>989</v>
      </c>
      <c r="L207" s="7" t="s">
        <v>1010</v>
      </c>
      <c r="M207" s="7" t="s">
        <v>1009</v>
      </c>
      <c r="R207" t="str">
        <f t="shared" si="3"/>
        <v>Abierto</v>
      </c>
      <c r="S207" t="s">
        <v>996</v>
      </c>
    </row>
    <row r="208" spans="1:20" x14ac:dyDescent="0.3">
      <c r="A208">
        <v>207</v>
      </c>
      <c r="B208" t="s">
        <v>1071</v>
      </c>
      <c r="C208" t="s">
        <v>306</v>
      </c>
      <c r="D208" s="6" t="s">
        <v>307</v>
      </c>
      <c r="E208" s="49">
        <v>45887</v>
      </c>
      <c r="F208" s="132" t="s">
        <v>1049</v>
      </c>
      <c r="G208" s="44">
        <v>80</v>
      </c>
      <c r="H208" s="44">
        <v>0</v>
      </c>
      <c r="I208" s="20">
        <v>0</v>
      </c>
      <c r="J208" s="44">
        <v>0</v>
      </c>
      <c r="K208" s="66" t="s">
        <v>989</v>
      </c>
      <c r="L208" s="7" t="s">
        <v>1010</v>
      </c>
      <c r="M208" s="7" t="s">
        <v>1009</v>
      </c>
      <c r="R208" t="str">
        <f t="shared" si="3"/>
        <v>Abierto</v>
      </c>
      <c r="S208" t="s">
        <v>996</v>
      </c>
    </row>
    <row r="209" spans="1:20" x14ac:dyDescent="0.3">
      <c r="A209">
        <v>208</v>
      </c>
      <c r="B209" s="11" t="s">
        <v>1071</v>
      </c>
      <c r="C209" s="11" t="s">
        <v>308</v>
      </c>
      <c r="D209" s="9" t="s">
        <v>1011</v>
      </c>
      <c r="E209" s="75">
        <v>45887</v>
      </c>
      <c r="F209" s="130" t="s">
        <v>1047</v>
      </c>
      <c r="G209" s="76">
        <v>0</v>
      </c>
      <c r="H209" s="76">
        <v>0</v>
      </c>
      <c r="I209" s="20">
        <v>0</v>
      </c>
      <c r="J209" s="76">
        <v>0</v>
      </c>
      <c r="K209" s="66" t="s">
        <v>989</v>
      </c>
      <c r="L209" s="78" t="s">
        <v>1009</v>
      </c>
      <c r="M209" s="78" t="s">
        <v>1009</v>
      </c>
      <c r="N209" s="79"/>
      <c r="O209" s="79"/>
      <c r="P209" s="79"/>
      <c r="Q209" s="11"/>
      <c r="R209" t="str">
        <f t="shared" si="3"/>
        <v>Cerrado</v>
      </c>
      <c r="S209" t="s">
        <v>993</v>
      </c>
    </row>
    <row r="210" spans="1:20" x14ac:dyDescent="0.3">
      <c r="A210">
        <v>209</v>
      </c>
      <c r="B210" s="2" t="s">
        <v>1071</v>
      </c>
      <c r="C210" s="2" t="s">
        <v>309</v>
      </c>
      <c r="D210" s="9" t="s">
        <v>1011</v>
      </c>
      <c r="E210" s="144">
        <v>45889</v>
      </c>
      <c r="F210" s="145" t="s">
        <v>1047</v>
      </c>
      <c r="G210" s="76">
        <v>0</v>
      </c>
      <c r="H210" s="76">
        <v>0</v>
      </c>
      <c r="I210" s="89">
        <v>0</v>
      </c>
      <c r="J210" s="76">
        <v>0</v>
      </c>
      <c r="K210" s="66" t="s">
        <v>989</v>
      </c>
      <c r="L210" s="78" t="s">
        <v>1009</v>
      </c>
      <c r="M210" s="78" t="s">
        <v>1009</v>
      </c>
      <c r="N210" s="79"/>
      <c r="O210" s="79"/>
      <c r="P210" s="79"/>
      <c r="Q210" s="11"/>
      <c r="R210" t="str">
        <f t="shared" si="3"/>
        <v>Cerrado</v>
      </c>
      <c r="S210" s="11" t="s">
        <v>993</v>
      </c>
      <c r="T210" s="11"/>
    </row>
    <row r="211" spans="1:20" x14ac:dyDescent="0.3">
      <c r="A211">
        <v>210</v>
      </c>
      <c r="B211" s="2" t="s">
        <v>1060</v>
      </c>
      <c r="C211" s="2" t="s">
        <v>310</v>
      </c>
      <c r="D211" s="9" t="s">
        <v>1011</v>
      </c>
      <c r="E211" s="144">
        <v>45889</v>
      </c>
      <c r="F211" s="145" t="s">
        <v>1050</v>
      </c>
      <c r="G211" s="76">
        <v>0</v>
      </c>
      <c r="H211" s="76">
        <v>0</v>
      </c>
      <c r="I211" s="20">
        <v>0</v>
      </c>
      <c r="J211" s="76">
        <v>0</v>
      </c>
      <c r="K211" s="66" t="s">
        <v>989</v>
      </c>
      <c r="L211" s="78" t="s">
        <v>1009</v>
      </c>
      <c r="M211" s="78" t="s">
        <v>1009</v>
      </c>
      <c r="N211" s="79"/>
      <c r="O211" s="79"/>
      <c r="P211" s="79"/>
      <c r="Q211" s="11"/>
      <c r="R211" t="str">
        <f t="shared" si="3"/>
        <v>Abierto</v>
      </c>
      <c r="S211" t="s">
        <v>996</v>
      </c>
    </row>
    <row r="212" spans="1:20" x14ac:dyDescent="0.3">
      <c r="A212">
        <v>211</v>
      </c>
      <c r="B212" s="22" t="s">
        <v>1074</v>
      </c>
      <c r="C212" s="22" t="s">
        <v>311</v>
      </c>
      <c r="D212" s="69" t="s">
        <v>312</v>
      </c>
      <c r="E212" s="146">
        <v>45890</v>
      </c>
      <c r="F212" s="147" t="s">
        <v>1018</v>
      </c>
      <c r="G212" s="71">
        <v>70</v>
      </c>
      <c r="H212" s="71">
        <v>0</v>
      </c>
      <c r="I212" s="81">
        <v>0</v>
      </c>
      <c r="J212" s="71">
        <v>0</v>
      </c>
      <c r="K212" s="66" t="s">
        <v>989</v>
      </c>
      <c r="L212" s="73" t="s">
        <v>1010</v>
      </c>
      <c r="M212" s="73" t="s">
        <v>1009</v>
      </c>
      <c r="N212" s="74">
        <v>45910</v>
      </c>
      <c r="O212" s="74">
        <v>45940</v>
      </c>
      <c r="P212" s="74"/>
      <c r="Q212" s="1">
        <v>1354</v>
      </c>
      <c r="R212" t="str">
        <f t="shared" si="3"/>
        <v>Abierto</v>
      </c>
      <c r="S212" s="1" t="s">
        <v>994</v>
      </c>
      <c r="T212" s="1"/>
    </row>
    <row r="213" spans="1:20" x14ac:dyDescent="0.3">
      <c r="A213">
        <v>212</v>
      </c>
      <c r="B213" s="2" t="s">
        <v>1060</v>
      </c>
      <c r="C213" s="2" t="s">
        <v>313</v>
      </c>
      <c r="D213" s="83" t="s">
        <v>314</v>
      </c>
      <c r="E213" s="144">
        <v>45890</v>
      </c>
      <c r="F213" s="145" t="s">
        <v>1019</v>
      </c>
      <c r="G213" s="76">
        <v>0</v>
      </c>
      <c r="H213" s="76">
        <v>0</v>
      </c>
      <c r="I213" s="20">
        <v>0</v>
      </c>
      <c r="J213" s="76">
        <v>0</v>
      </c>
      <c r="K213" s="66" t="s">
        <v>989</v>
      </c>
      <c r="L213" s="78" t="s">
        <v>1009</v>
      </c>
      <c r="M213" s="78" t="s">
        <v>1009</v>
      </c>
      <c r="N213" s="79"/>
      <c r="O213" s="79"/>
      <c r="P213" s="79"/>
      <c r="Q213" s="11"/>
      <c r="R213" t="str">
        <f t="shared" si="3"/>
        <v>Cerrado</v>
      </c>
      <c r="S213" t="s">
        <v>993</v>
      </c>
    </row>
    <row r="214" spans="1:20" x14ac:dyDescent="0.3">
      <c r="A214">
        <v>213</v>
      </c>
      <c r="B214" s="2" t="s">
        <v>1069</v>
      </c>
      <c r="C214" s="2" t="s">
        <v>315</v>
      </c>
      <c r="D214" s="9" t="s">
        <v>1011</v>
      </c>
      <c r="E214" s="144">
        <v>45892</v>
      </c>
      <c r="F214" s="145" t="s">
        <v>1016</v>
      </c>
      <c r="G214" s="76">
        <v>0</v>
      </c>
      <c r="H214" s="76">
        <v>0</v>
      </c>
      <c r="I214" s="20">
        <v>0</v>
      </c>
      <c r="J214" s="76">
        <v>0</v>
      </c>
      <c r="K214" s="66" t="s">
        <v>989</v>
      </c>
      <c r="L214" s="78" t="s">
        <v>1009</v>
      </c>
      <c r="M214" s="78" t="s">
        <v>1009</v>
      </c>
      <c r="N214" s="79"/>
      <c r="O214" s="79"/>
      <c r="P214" s="79"/>
      <c r="Q214" s="11"/>
      <c r="R214" t="str">
        <f t="shared" si="3"/>
        <v>Cerrado</v>
      </c>
      <c r="S214" t="s">
        <v>993</v>
      </c>
    </row>
    <row r="215" spans="1:20" x14ac:dyDescent="0.3">
      <c r="A215">
        <v>214</v>
      </c>
      <c r="B215" s="11" t="s">
        <v>1057</v>
      </c>
      <c r="C215" s="11" t="s">
        <v>316</v>
      </c>
      <c r="D215" s="9" t="s">
        <v>1011</v>
      </c>
      <c r="E215" s="75">
        <v>45895</v>
      </c>
      <c r="F215" s="130" t="s">
        <v>1027</v>
      </c>
      <c r="G215" s="76">
        <v>0</v>
      </c>
      <c r="H215" s="76">
        <v>0</v>
      </c>
      <c r="I215" s="89">
        <v>0</v>
      </c>
      <c r="J215" s="76">
        <v>0</v>
      </c>
      <c r="K215" s="66" t="s">
        <v>989</v>
      </c>
      <c r="L215" s="78" t="s">
        <v>1009</v>
      </c>
      <c r="M215" s="78" t="s">
        <v>1009</v>
      </c>
      <c r="N215" s="79"/>
      <c r="O215" s="79"/>
      <c r="P215" s="79"/>
      <c r="Q215" s="11"/>
      <c r="R215" t="str">
        <f t="shared" si="3"/>
        <v>Cerrado</v>
      </c>
      <c r="S215" s="11" t="s">
        <v>993</v>
      </c>
      <c r="T215" s="11"/>
    </row>
    <row r="216" spans="1:20" x14ac:dyDescent="0.3">
      <c r="A216">
        <v>215</v>
      </c>
      <c r="B216" s="1" t="s">
        <v>1061</v>
      </c>
      <c r="C216" s="1" t="s">
        <v>317</v>
      </c>
      <c r="D216" s="69" t="s">
        <v>318</v>
      </c>
      <c r="E216" s="70">
        <v>45897</v>
      </c>
      <c r="F216" s="127" t="s">
        <v>1050</v>
      </c>
      <c r="G216" s="71">
        <v>160</v>
      </c>
      <c r="H216" s="71">
        <v>662</v>
      </c>
      <c r="I216" s="81">
        <v>0</v>
      </c>
      <c r="J216" s="71">
        <v>662</v>
      </c>
      <c r="K216" s="66" t="s">
        <v>989</v>
      </c>
      <c r="L216" s="73" t="s">
        <v>1010</v>
      </c>
      <c r="M216" s="73" t="s">
        <v>1010</v>
      </c>
      <c r="N216" s="74">
        <v>45910</v>
      </c>
      <c r="O216" s="74">
        <v>45940</v>
      </c>
      <c r="P216" s="74"/>
      <c r="Q216" s="1">
        <v>1339</v>
      </c>
      <c r="R216" t="str">
        <f t="shared" si="3"/>
        <v>Abierto</v>
      </c>
      <c r="S216" s="1" t="s">
        <v>994</v>
      </c>
      <c r="T216" s="1"/>
    </row>
    <row r="217" spans="1:20" x14ac:dyDescent="0.3">
      <c r="A217">
        <v>216</v>
      </c>
      <c r="B217" s="11" t="s">
        <v>1071</v>
      </c>
      <c r="C217" s="11" t="s">
        <v>319</v>
      </c>
      <c r="D217" s="83" t="s">
        <v>320</v>
      </c>
      <c r="E217" s="75">
        <v>45897</v>
      </c>
      <c r="F217" s="130" t="s">
        <v>1042</v>
      </c>
      <c r="G217" s="76">
        <v>0</v>
      </c>
      <c r="H217" s="76">
        <v>0</v>
      </c>
      <c r="I217" s="89">
        <v>0</v>
      </c>
      <c r="J217" s="76">
        <v>0</v>
      </c>
      <c r="K217" s="66" t="s">
        <v>989</v>
      </c>
      <c r="L217" s="78" t="s">
        <v>1009</v>
      </c>
      <c r="M217" s="78" t="s">
        <v>1009</v>
      </c>
      <c r="N217" s="79"/>
      <c r="O217" s="79"/>
      <c r="P217" s="79"/>
      <c r="Q217" s="11"/>
      <c r="R217" t="str">
        <f t="shared" si="3"/>
        <v>Cerrado</v>
      </c>
      <c r="S217" s="11" t="s">
        <v>993</v>
      </c>
      <c r="T217" s="11"/>
    </row>
    <row r="218" spans="1:20" x14ac:dyDescent="0.3">
      <c r="A218">
        <v>217</v>
      </c>
      <c r="B218" s="11" t="s">
        <v>1060</v>
      </c>
      <c r="C218" s="11" t="s">
        <v>321</v>
      </c>
      <c r="D218" s="83" t="s">
        <v>322</v>
      </c>
      <c r="E218" s="75">
        <v>45897</v>
      </c>
      <c r="F218" s="130" t="s">
        <v>1016</v>
      </c>
      <c r="G218" s="76">
        <v>0</v>
      </c>
      <c r="H218" s="76">
        <v>0</v>
      </c>
      <c r="I218" s="89">
        <v>0</v>
      </c>
      <c r="J218" s="76">
        <v>0</v>
      </c>
      <c r="K218" s="66" t="s">
        <v>989</v>
      </c>
      <c r="L218" s="78" t="s">
        <v>1009</v>
      </c>
      <c r="M218" s="78" t="s">
        <v>1009</v>
      </c>
      <c r="N218" s="79"/>
      <c r="O218" s="79"/>
      <c r="P218" s="79"/>
      <c r="Q218" s="11"/>
      <c r="R218" t="str">
        <f t="shared" si="3"/>
        <v>Cerrado</v>
      </c>
      <c r="S218" s="11" t="s">
        <v>993</v>
      </c>
      <c r="T218" s="11"/>
    </row>
    <row r="219" spans="1:20" x14ac:dyDescent="0.3">
      <c r="A219">
        <v>218</v>
      </c>
      <c r="B219" s="1" t="s">
        <v>1073</v>
      </c>
      <c r="C219" s="1" t="s">
        <v>325</v>
      </c>
      <c r="D219" s="69" t="s">
        <v>326</v>
      </c>
      <c r="E219" s="70">
        <v>45900</v>
      </c>
      <c r="F219" s="127" t="s">
        <v>1016</v>
      </c>
      <c r="G219" s="71">
        <v>80</v>
      </c>
      <c r="H219" s="71">
        <v>972</v>
      </c>
      <c r="I219" s="81">
        <v>0</v>
      </c>
      <c r="J219" s="71">
        <v>972</v>
      </c>
      <c r="K219" s="66" t="s">
        <v>989</v>
      </c>
      <c r="L219" s="73" t="s">
        <v>1010</v>
      </c>
      <c r="M219" s="73" t="s">
        <v>1010</v>
      </c>
      <c r="N219" s="74">
        <v>45936</v>
      </c>
      <c r="O219" s="74">
        <v>45971</v>
      </c>
      <c r="P219" s="74"/>
      <c r="Q219" s="1">
        <v>1362</v>
      </c>
      <c r="R219" t="str">
        <f t="shared" si="3"/>
        <v>Abierto</v>
      </c>
      <c r="S219" s="1" t="s">
        <v>994</v>
      </c>
      <c r="T219" s="1"/>
    </row>
    <row r="220" spans="1:20" s="11" customFormat="1" x14ac:dyDescent="0.3">
      <c r="A220">
        <v>219</v>
      </c>
      <c r="B220" s="1" t="s">
        <v>1060</v>
      </c>
      <c r="C220" s="1" t="s">
        <v>327</v>
      </c>
      <c r="D220" s="69" t="s">
        <v>328</v>
      </c>
      <c r="E220" s="70">
        <v>45900</v>
      </c>
      <c r="F220" s="127" t="s">
        <v>1018</v>
      </c>
      <c r="G220" s="71">
        <v>70</v>
      </c>
      <c r="H220" s="71">
        <v>263.73</v>
      </c>
      <c r="I220" s="81">
        <v>0</v>
      </c>
      <c r="J220" s="71">
        <v>263.73</v>
      </c>
      <c r="K220" s="66" t="s">
        <v>989</v>
      </c>
      <c r="L220" s="73" t="s">
        <v>1010</v>
      </c>
      <c r="M220" s="73" t="s">
        <v>1010</v>
      </c>
      <c r="N220" s="74">
        <v>46001</v>
      </c>
      <c r="O220" s="74" t="s">
        <v>329</v>
      </c>
      <c r="P220" s="74"/>
      <c r="Q220" s="1">
        <v>1420</v>
      </c>
      <c r="R220" t="str">
        <f t="shared" si="3"/>
        <v>Abierto</v>
      </c>
      <c r="S220" s="1" t="s">
        <v>994</v>
      </c>
      <c r="T220" s="1"/>
    </row>
    <row r="221" spans="1:20" s="12" customFormat="1" x14ac:dyDescent="0.3">
      <c r="A221">
        <v>220</v>
      </c>
      <c r="B221" s="12" t="s">
        <v>1073</v>
      </c>
      <c r="C221" s="12" t="s">
        <v>323</v>
      </c>
      <c r="D221" s="60" t="s">
        <v>324</v>
      </c>
      <c r="E221" s="61">
        <v>45900</v>
      </c>
      <c r="F221" s="128" t="s">
        <v>1016</v>
      </c>
      <c r="G221" s="62">
        <v>80</v>
      </c>
      <c r="H221" s="62">
        <v>300</v>
      </c>
      <c r="I221" s="67">
        <v>0</v>
      </c>
      <c r="J221" s="62">
        <v>300</v>
      </c>
      <c r="K221" s="66" t="s">
        <v>989</v>
      </c>
      <c r="L221" s="64" t="s">
        <v>1010</v>
      </c>
      <c r="M221" s="64" t="s">
        <v>1010</v>
      </c>
      <c r="N221" s="65">
        <v>45971</v>
      </c>
      <c r="O221" s="65">
        <v>46001</v>
      </c>
      <c r="P221" s="65"/>
      <c r="Q221" s="12">
        <v>1398</v>
      </c>
      <c r="R221" t="str">
        <f t="shared" si="3"/>
        <v>Cerrado</v>
      </c>
      <c r="S221" s="12" t="s">
        <v>995</v>
      </c>
    </row>
    <row r="222" spans="1:20" x14ac:dyDescent="0.3">
      <c r="A222">
        <v>221</v>
      </c>
      <c r="B222" s="11" t="s">
        <v>1071</v>
      </c>
      <c r="C222" s="11" t="s">
        <v>330</v>
      </c>
      <c r="D222" s="83" t="s">
        <v>331</v>
      </c>
      <c r="E222" s="75">
        <v>45901</v>
      </c>
      <c r="F222" s="130" t="s">
        <v>1018</v>
      </c>
      <c r="G222" s="76">
        <v>0</v>
      </c>
      <c r="H222" s="76">
        <v>0</v>
      </c>
      <c r="I222" s="89">
        <v>0</v>
      </c>
      <c r="J222" s="76">
        <v>0</v>
      </c>
      <c r="K222" s="66" t="s">
        <v>989</v>
      </c>
      <c r="L222" s="78" t="s">
        <v>1009</v>
      </c>
      <c r="M222" s="78" t="s">
        <v>1009</v>
      </c>
      <c r="N222" s="79"/>
      <c r="O222" s="79"/>
      <c r="P222" s="79"/>
      <c r="Q222" s="11"/>
      <c r="R222" t="str">
        <f t="shared" si="3"/>
        <v>Cerrado</v>
      </c>
      <c r="S222" s="11" t="s">
        <v>993</v>
      </c>
      <c r="T222" s="11"/>
    </row>
    <row r="223" spans="1:20" s="1" customFormat="1" x14ac:dyDescent="0.3">
      <c r="A223">
        <v>222</v>
      </c>
      <c r="B223" s="1" t="s">
        <v>1073</v>
      </c>
      <c r="C223" s="1" t="s">
        <v>334</v>
      </c>
      <c r="D223" s="69" t="s">
        <v>335</v>
      </c>
      <c r="E223" s="70">
        <v>45905</v>
      </c>
      <c r="F223" s="127" t="s">
        <v>526</v>
      </c>
      <c r="G223" s="71">
        <v>80</v>
      </c>
      <c r="H223" s="71">
        <v>150</v>
      </c>
      <c r="I223" s="81">
        <v>0</v>
      </c>
      <c r="J223" s="71">
        <v>150</v>
      </c>
      <c r="K223" s="66" t="s">
        <v>989</v>
      </c>
      <c r="L223" s="73" t="s">
        <v>1010</v>
      </c>
      <c r="M223" s="73" t="s">
        <v>1010</v>
      </c>
      <c r="N223" s="74">
        <v>45938</v>
      </c>
      <c r="O223" s="74">
        <v>45971</v>
      </c>
      <c r="P223" s="74"/>
      <c r="Q223" s="1">
        <v>1381</v>
      </c>
      <c r="R223" t="str">
        <f t="shared" si="3"/>
        <v>Abierto</v>
      </c>
      <c r="S223" s="1" t="s">
        <v>994</v>
      </c>
    </row>
    <row r="224" spans="1:20" x14ac:dyDescent="0.3">
      <c r="A224">
        <v>223</v>
      </c>
      <c r="B224" t="s">
        <v>1073</v>
      </c>
      <c r="C224" t="s">
        <v>332</v>
      </c>
      <c r="D224" s="6" t="s">
        <v>333</v>
      </c>
      <c r="E224" s="49">
        <v>45905</v>
      </c>
      <c r="F224" s="132" t="s">
        <v>1016</v>
      </c>
      <c r="G224" s="44">
        <v>0</v>
      </c>
      <c r="H224" s="44">
        <v>0</v>
      </c>
      <c r="I224" s="20">
        <v>0</v>
      </c>
      <c r="J224" s="44">
        <v>0</v>
      </c>
      <c r="K224" s="66" t="s">
        <v>989</v>
      </c>
      <c r="L224" s="7" t="s">
        <v>1009</v>
      </c>
      <c r="M224" s="7" t="s">
        <v>1009</v>
      </c>
      <c r="R224" t="str">
        <f t="shared" si="3"/>
        <v>Abierto</v>
      </c>
      <c r="S224" t="s">
        <v>996</v>
      </c>
    </row>
    <row r="225" spans="1:20" x14ac:dyDescent="0.3">
      <c r="A225">
        <v>224</v>
      </c>
      <c r="B225" s="95" t="s">
        <v>1073</v>
      </c>
      <c r="C225" s="95" t="s">
        <v>336</v>
      </c>
      <c r="D225" s="41" t="s">
        <v>337</v>
      </c>
      <c r="E225" s="96">
        <v>45905.612071759257</v>
      </c>
      <c r="F225" s="134" t="s">
        <v>1042</v>
      </c>
      <c r="G225" s="71">
        <v>80</v>
      </c>
      <c r="H225" s="71">
        <v>0</v>
      </c>
      <c r="I225" s="81">
        <v>0</v>
      </c>
      <c r="J225" s="71">
        <v>0</v>
      </c>
      <c r="K225" s="66" t="s">
        <v>989</v>
      </c>
      <c r="L225" s="73" t="s">
        <v>1009</v>
      </c>
      <c r="M225" s="73" t="s">
        <v>1009</v>
      </c>
      <c r="N225" s="74">
        <v>45938</v>
      </c>
      <c r="O225" s="74">
        <v>45971</v>
      </c>
      <c r="P225" s="74"/>
      <c r="Q225" s="1">
        <v>1380</v>
      </c>
      <c r="R225" t="str">
        <f t="shared" si="3"/>
        <v>Abierto</v>
      </c>
      <c r="S225" s="1" t="s">
        <v>994</v>
      </c>
      <c r="T225" s="1"/>
    </row>
    <row r="226" spans="1:20" s="1" customFormat="1" x14ac:dyDescent="0.3">
      <c r="A226">
        <v>225</v>
      </c>
      <c r="B226" s="85" t="s">
        <v>1073</v>
      </c>
      <c r="C226" s="85" t="s">
        <v>338</v>
      </c>
      <c r="D226" s="85" t="s">
        <v>339</v>
      </c>
      <c r="E226" s="97">
        <v>45905.732453703713</v>
      </c>
      <c r="F226" s="135" t="s">
        <v>1016</v>
      </c>
      <c r="G226" s="62">
        <v>80</v>
      </c>
      <c r="H226" s="62">
        <v>300</v>
      </c>
      <c r="I226" s="67">
        <v>0</v>
      </c>
      <c r="J226" s="62">
        <v>300</v>
      </c>
      <c r="K226" s="66" t="s">
        <v>989</v>
      </c>
      <c r="L226" s="64" t="s">
        <v>1010</v>
      </c>
      <c r="M226" s="64" t="s">
        <v>1010</v>
      </c>
      <c r="N226" s="65">
        <v>45971</v>
      </c>
      <c r="O226" s="65">
        <v>46001</v>
      </c>
      <c r="P226" s="65"/>
      <c r="Q226" s="12">
        <v>1399</v>
      </c>
      <c r="R226" t="str">
        <f t="shared" si="3"/>
        <v>Cerrado</v>
      </c>
      <c r="S226" s="12" t="s">
        <v>995</v>
      </c>
      <c r="T226" s="12"/>
    </row>
    <row r="227" spans="1:20" x14ac:dyDescent="0.3">
      <c r="A227">
        <v>226</v>
      </c>
      <c r="B227" s="95" t="s">
        <v>1073</v>
      </c>
      <c r="C227" s="95" t="s">
        <v>340</v>
      </c>
      <c r="D227" s="95" t="s">
        <v>341</v>
      </c>
      <c r="E227" s="96">
        <v>45905.843506944453</v>
      </c>
      <c r="F227" s="134" t="s">
        <v>1018</v>
      </c>
      <c r="G227" s="71">
        <v>80</v>
      </c>
      <c r="H227" s="71">
        <v>0</v>
      </c>
      <c r="I227" s="81">
        <v>0</v>
      </c>
      <c r="J227" s="71">
        <v>0</v>
      </c>
      <c r="K227" s="66" t="s">
        <v>989</v>
      </c>
      <c r="L227" s="73" t="s">
        <v>1009</v>
      </c>
      <c r="M227" s="73" t="s">
        <v>1009</v>
      </c>
      <c r="N227" s="74">
        <v>45938</v>
      </c>
      <c r="O227" s="74">
        <v>45971</v>
      </c>
      <c r="P227" s="74"/>
      <c r="Q227" s="1">
        <v>1379</v>
      </c>
      <c r="R227" t="str">
        <f t="shared" si="3"/>
        <v>Abierto</v>
      </c>
      <c r="S227" s="1" t="s">
        <v>994</v>
      </c>
      <c r="T227" s="1"/>
    </row>
    <row r="228" spans="1:20" s="12" customFormat="1" x14ac:dyDescent="0.3">
      <c r="A228">
        <v>227</v>
      </c>
      <c r="B228" s="95" t="s">
        <v>1073</v>
      </c>
      <c r="C228" s="95" t="s">
        <v>342</v>
      </c>
      <c r="D228" s="95" t="s">
        <v>343</v>
      </c>
      <c r="E228" s="96">
        <v>45908.588703703703</v>
      </c>
      <c r="F228" s="134" t="s">
        <v>1016</v>
      </c>
      <c r="G228" s="71">
        <v>80</v>
      </c>
      <c r="H228" s="71">
        <v>227</v>
      </c>
      <c r="I228" s="81">
        <v>0</v>
      </c>
      <c r="J228" s="71">
        <v>227</v>
      </c>
      <c r="K228" s="66" t="s">
        <v>989</v>
      </c>
      <c r="L228" s="73" t="s">
        <v>1010</v>
      </c>
      <c r="M228" s="73" t="s">
        <v>1010</v>
      </c>
      <c r="N228" s="74">
        <v>45938</v>
      </c>
      <c r="O228" s="74">
        <v>45971</v>
      </c>
      <c r="P228" s="74"/>
      <c r="Q228" s="1">
        <v>1378</v>
      </c>
      <c r="R228" t="str">
        <f t="shared" si="3"/>
        <v>Abierto</v>
      </c>
      <c r="S228" s="1" t="s">
        <v>994</v>
      </c>
      <c r="T228" s="1"/>
    </row>
    <row r="229" spans="1:20" s="1" customFormat="1" x14ac:dyDescent="0.3">
      <c r="A229">
        <v>228</v>
      </c>
      <c r="B229" s="95" t="s">
        <v>1073</v>
      </c>
      <c r="C229" s="95" t="s">
        <v>344</v>
      </c>
      <c r="D229" s="95" t="s">
        <v>345</v>
      </c>
      <c r="E229" s="96">
        <v>45909.491076388891</v>
      </c>
      <c r="F229" s="134" t="s">
        <v>1042</v>
      </c>
      <c r="G229" s="71">
        <v>80</v>
      </c>
      <c r="H229" s="71">
        <v>76</v>
      </c>
      <c r="I229" s="81">
        <v>0</v>
      </c>
      <c r="J229" s="71">
        <v>0</v>
      </c>
      <c r="K229" s="66" t="s">
        <v>989</v>
      </c>
      <c r="L229" s="73" t="s">
        <v>1010</v>
      </c>
      <c r="M229" s="73" t="s">
        <v>1010</v>
      </c>
      <c r="N229" s="74">
        <v>45938</v>
      </c>
      <c r="O229" s="74">
        <v>45971</v>
      </c>
      <c r="P229" s="74"/>
      <c r="Q229" s="1">
        <v>1377</v>
      </c>
      <c r="R229" t="str">
        <f t="shared" si="3"/>
        <v>Abierto</v>
      </c>
      <c r="S229" s="1" t="s">
        <v>994</v>
      </c>
    </row>
    <row r="230" spans="1:20" s="1" customFormat="1" x14ac:dyDescent="0.3">
      <c r="A230">
        <v>229</v>
      </c>
      <c r="B230" s="95" t="s">
        <v>1073</v>
      </c>
      <c r="C230" s="95" t="s">
        <v>346</v>
      </c>
      <c r="D230" s="95" t="s">
        <v>347</v>
      </c>
      <c r="E230" s="96">
        <v>45910.39947916667</v>
      </c>
      <c r="F230" s="134" t="s">
        <v>526</v>
      </c>
      <c r="G230" s="71">
        <v>80</v>
      </c>
      <c r="H230" s="71">
        <v>265</v>
      </c>
      <c r="I230" s="81">
        <v>0</v>
      </c>
      <c r="J230" s="71">
        <v>265</v>
      </c>
      <c r="K230" s="66" t="s">
        <v>989</v>
      </c>
      <c r="L230" s="73" t="s">
        <v>1010</v>
      </c>
      <c r="M230" s="73" t="s">
        <v>1010</v>
      </c>
      <c r="N230" s="74">
        <v>45938</v>
      </c>
      <c r="O230" s="74">
        <v>45971</v>
      </c>
      <c r="P230" s="74"/>
      <c r="Q230" s="1">
        <v>1376</v>
      </c>
      <c r="R230" t="str">
        <f t="shared" si="3"/>
        <v>Abierto</v>
      </c>
      <c r="S230" s="1" t="s">
        <v>994</v>
      </c>
    </row>
    <row r="231" spans="1:20" s="1" customFormat="1" x14ac:dyDescent="0.3">
      <c r="A231">
        <v>230</v>
      </c>
      <c r="B231" s="98" t="s">
        <v>1061</v>
      </c>
      <c r="C231" s="98" t="s">
        <v>348</v>
      </c>
      <c r="D231" s="98" t="s">
        <v>349</v>
      </c>
      <c r="E231" s="99">
        <v>45910.498310185183</v>
      </c>
      <c r="F231" s="136" t="s">
        <v>1018</v>
      </c>
      <c r="G231" s="92">
        <v>70</v>
      </c>
      <c r="H231" s="92">
        <v>0</v>
      </c>
      <c r="I231" s="100">
        <v>0</v>
      </c>
      <c r="J231" s="92">
        <v>0</v>
      </c>
      <c r="K231" s="66" t="s">
        <v>989</v>
      </c>
      <c r="L231" s="93" t="s">
        <v>1009</v>
      </c>
      <c r="M231" s="93" t="s">
        <v>1009</v>
      </c>
      <c r="N231" s="94"/>
      <c r="O231" s="94"/>
      <c r="P231" s="94"/>
      <c r="Q231" s="28"/>
      <c r="R231" t="str">
        <f t="shared" si="3"/>
        <v>Abierto</v>
      </c>
      <c r="S231" s="28" t="s">
        <v>997</v>
      </c>
      <c r="T231" s="28"/>
    </row>
    <row r="232" spans="1:20" x14ac:dyDescent="0.3">
      <c r="A232">
        <v>231</v>
      </c>
      <c r="B232" s="95" t="s">
        <v>1073</v>
      </c>
      <c r="C232" s="95" t="s">
        <v>350</v>
      </c>
      <c r="D232" s="95" t="s">
        <v>351</v>
      </c>
      <c r="E232" s="96">
        <v>45910.509270833332</v>
      </c>
      <c r="F232" s="134" t="s">
        <v>526</v>
      </c>
      <c r="G232" s="71">
        <v>80</v>
      </c>
      <c r="H232" s="71">
        <v>160</v>
      </c>
      <c r="I232" s="81">
        <v>0</v>
      </c>
      <c r="J232" s="71">
        <v>160</v>
      </c>
      <c r="K232" s="66" t="s">
        <v>989</v>
      </c>
      <c r="L232" s="73" t="s">
        <v>1010</v>
      </c>
      <c r="M232" s="73" t="s">
        <v>1010</v>
      </c>
      <c r="N232" s="74">
        <v>45938</v>
      </c>
      <c r="O232" s="74">
        <v>45971</v>
      </c>
      <c r="P232" s="74"/>
      <c r="Q232" s="1">
        <v>1375</v>
      </c>
      <c r="R232" t="str">
        <f t="shared" si="3"/>
        <v>Abierto</v>
      </c>
      <c r="S232" s="1" t="s">
        <v>994</v>
      </c>
      <c r="T232" s="1"/>
    </row>
    <row r="233" spans="1:20" s="1" customFormat="1" x14ac:dyDescent="0.3">
      <c r="A233">
        <v>232</v>
      </c>
      <c r="B233" s="101" t="s">
        <v>1057</v>
      </c>
      <c r="C233" s="101" t="s">
        <v>352</v>
      </c>
      <c r="D233" s="42" t="s">
        <v>1011</v>
      </c>
      <c r="E233" s="102">
        <v>45913.753587962958</v>
      </c>
      <c r="F233" s="137" t="s">
        <v>1025</v>
      </c>
      <c r="G233" s="44">
        <v>0</v>
      </c>
      <c r="H233" s="44">
        <v>0</v>
      </c>
      <c r="I233" s="20">
        <v>0</v>
      </c>
      <c r="J233" s="44">
        <v>0</v>
      </c>
      <c r="K233" s="66" t="s">
        <v>989</v>
      </c>
      <c r="L233" s="7" t="s">
        <v>1009</v>
      </c>
      <c r="M233" s="7" t="s">
        <v>1009</v>
      </c>
      <c r="N233" s="54"/>
      <c r="O233" s="54"/>
      <c r="P233" s="54"/>
      <c r="Q233"/>
      <c r="R233" t="str">
        <f t="shared" si="3"/>
        <v>Abierto</v>
      </c>
      <c r="S233" t="s">
        <v>996</v>
      </c>
      <c r="T233"/>
    </row>
    <row r="234" spans="1:20" x14ac:dyDescent="0.3">
      <c r="A234">
        <v>233</v>
      </c>
      <c r="B234" s="95" t="s">
        <v>1073</v>
      </c>
      <c r="C234" s="95" t="s">
        <v>353</v>
      </c>
      <c r="D234" s="95" t="s">
        <v>354</v>
      </c>
      <c r="E234" s="96">
        <v>45915.424409722233</v>
      </c>
      <c r="F234" s="134" t="s">
        <v>1042</v>
      </c>
      <c r="G234" s="71">
        <v>80</v>
      </c>
      <c r="H234" s="71">
        <v>76</v>
      </c>
      <c r="I234" s="81">
        <v>0</v>
      </c>
      <c r="J234" s="71">
        <v>76</v>
      </c>
      <c r="K234" s="66" t="s">
        <v>989</v>
      </c>
      <c r="L234" s="73" t="s">
        <v>1010</v>
      </c>
      <c r="M234" s="73" t="s">
        <v>1010</v>
      </c>
      <c r="N234" s="74">
        <v>45938</v>
      </c>
      <c r="O234" s="74">
        <v>45971</v>
      </c>
      <c r="P234" s="74"/>
      <c r="Q234" s="1">
        <v>1374</v>
      </c>
      <c r="R234" t="str">
        <f t="shared" si="3"/>
        <v>Abierto</v>
      </c>
      <c r="S234" s="1" t="s">
        <v>994</v>
      </c>
      <c r="T234" s="1"/>
    </row>
    <row r="235" spans="1:20" s="1" customFormat="1" x14ac:dyDescent="0.3">
      <c r="A235">
        <v>234</v>
      </c>
      <c r="B235" s="86" t="s">
        <v>1073</v>
      </c>
      <c r="C235" s="86" t="s">
        <v>355</v>
      </c>
      <c r="D235" s="86" t="s">
        <v>356</v>
      </c>
      <c r="E235" s="103">
        <v>45915.810879629629</v>
      </c>
      <c r="F235" s="138" t="s">
        <v>1042</v>
      </c>
      <c r="G235" s="76">
        <v>0</v>
      </c>
      <c r="H235" s="76">
        <v>0</v>
      </c>
      <c r="I235" s="89">
        <v>0</v>
      </c>
      <c r="J235" s="76">
        <v>0</v>
      </c>
      <c r="K235" s="66" t="s">
        <v>989</v>
      </c>
      <c r="L235" s="78" t="s">
        <v>1009</v>
      </c>
      <c r="M235" s="78" t="s">
        <v>1009</v>
      </c>
      <c r="N235" s="79"/>
      <c r="O235" s="79"/>
      <c r="P235" s="79"/>
      <c r="Q235" s="11"/>
      <c r="R235" t="str">
        <f t="shared" si="3"/>
        <v>Cerrado</v>
      </c>
      <c r="S235" s="11" t="s">
        <v>993</v>
      </c>
      <c r="T235" s="11"/>
    </row>
    <row r="236" spans="1:20" s="12" customFormat="1" x14ac:dyDescent="0.3">
      <c r="A236">
        <v>235</v>
      </c>
      <c r="B236" s="85" t="s">
        <v>1073</v>
      </c>
      <c r="C236" s="85" t="s">
        <v>357</v>
      </c>
      <c r="D236" s="85" t="s">
        <v>358</v>
      </c>
      <c r="E236" s="97">
        <v>45915.940682870372</v>
      </c>
      <c r="F236" s="135" t="s">
        <v>1016</v>
      </c>
      <c r="G236" s="62">
        <v>80</v>
      </c>
      <c r="H236" s="62">
        <v>0</v>
      </c>
      <c r="I236" s="67">
        <v>0</v>
      </c>
      <c r="J236" s="62">
        <v>0</v>
      </c>
      <c r="K236" s="66" t="s">
        <v>989</v>
      </c>
      <c r="L236" s="64" t="s">
        <v>1009</v>
      </c>
      <c r="M236" s="64" t="s">
        <v>1009</v>
      </c>
      <c r="N236" s="65">
        <v>46031</v>
      </c>
      <c r="O236" s="65">
        <v>46063</v>
      </c>
      <c r="P236" s="65">
        <v>46038</v>
      </c>
      <c r="Q236" s="12">
        <v>1452</v>
      </c>
      <c r="R236" t="str">
        <f t="shared" si="3"/>
        <v>Cerrado</v>
      </c>
      <c r="S236" s="12" t="s">
        <v>995</v>
      </c>
    </row>
    <row r="237" spans="1:20" s="1" customFormat="1" x14ac:dyDescent="0.3">
      <c r="A237">
        <v>236</v>
      </c>
      <c r="B237" s="95" t="s">
        <v>1070</v>
      </c>
      <c r="C237" s="95" t="s">
        <v>359</v>
      </c>
      <c r="D237" s="95" t="s">
        <v>360</v>
      </c>
      <c r="E237" s="96">
        <v>45916.306319444448</v>
      </c>
      <c r="F237" s="134" t="s">
        <v>1018</v>
      </c>
      <c r="G237" s="71">
        <v>80</v>
      </c>
      <c r="H237" s="71">
        <v>100</v>
      </c>
      <c r="I237" s="81">
        <v>0</v>
      </c>
      <c r="J237" s="71">
        <v>100</v>
      </c>
      <c r="K237" s="66" t="s">
        <v>989</v>
      </c>
      <c r="L237" s="73" t="s">
        <v>1010</v>
      </c>
      <c r="M237" s="73" t="s">
        <v>1010</v>
      </c>
      <c r="N237" s="74">
        <v>45937</v>
      </c>
      <c r="O237" s="74">
        <v>45971</v>
      </c>
      <c r="P237" s="74"/>
      <c r="Q237" s="1">
        <v>1373</v>
      </c>
      <c r="R237" t="str">
        <f t="shared" si="3"/>
        <v>Abierto</v>
      </c>
      <c r="S237" s="1" t="s">
        <v>994</v>
      </c>
    </row>
    <row r="238" spans="1:20" s="1" customFormat="1" x14ac:dyDescent="0.3">
      <c r="A238">
        <v>237</v>
      </c>
      <c r="B238" s="86" t="s">
        <v>1057</v>
      </c>
      <c r="C238" s="86" t="s">
        <v>361</v>
      </c>
      <c r="D238" s="2" t="s">
        <v>1011</v>
      </c>
      <c r="E238" s="103">
        <v>45916.607303240737</v>
      </c>
      <c r="F238" s="138" t="s">
        <v>1015</v>
      </c>
      <c r="G238" s="76">
        <v>0</v>
      </c>
      <c r="H238" s="76">
        <v>0</v>
      </c>
      <c r="I238" s="89">
        <v>0</v>
      </c>
      <c r="J238" s="76">
        <v>0</v>
      </c>
      <c r="K238" s="66" t="s">
        <v>989</v>
      </c>
      <c r="L238" s="78" t="s">
        <v>1009</v>
      </c>
      <c r="M238" s="78" t="s">
        <v>1009</v>
      </c>
      <c r="N238" s="79"/>
      <c r="O238" s="79"/>
      <c r="P238" s="79"/>
      <c r="Q238" s="11"/>
      <c r="R238" t="str">
        <f t="shared" si="3"/>
        <v>Cerrado</v>
      </c>
      <c r="S238" s="11" t="s">
        <v>993</v>
      </c>
      <c r="T238" s="11"/>
    </row>
    <row r="239" spans="1:20" x14ac:dyDescent="0.3">
      <c r="A239">
        <v>238</v>
      </c>
      <c r="B239" s="11" t="s">
        <v>1073</v>
      </c>
      <c r="C239" s="11" t="s">
        <v>362</v>
      </c>
      <c r="D239" s="83" t="s">
        <v>363</v>
      </c>
      <c r="E239" s="75">
        <v>45917</v>
      </c>
      <c r="F239" s="130" t="s">
        <v>1016</v>
      </c>
      <c r="G239" s="76">
        <v>0</v>
      </c>
      <c r="H239" s="76">
        <v>0</v>
      </c>
      <c r="I239" s="89">
        <v>0</v>
      </c>
      <c r="J239" s="76">
        <v>0</v>
      </c>
      <c r="K239" s="66" t="s">
        <v>989</v>
      </c>
      <c r="L239" s="78" t="s">
        <v>1009</v>
      </c>
      <c r="M239" s="78" t="s">
        <v>1009</v>
      </c>
      <c r="N239" s="79"/>
      <c r="O239" s="79"/>
      <c r="P239" s="79"/>
      <c r="Q239" s="11"/>
      <c r="R239" t="str">
        <f t="shared" si="3"/>
        <v>Cerrado</v>
      </c>
      <c r="S239" s="11" t="s">
        <v>993</v>
      </c>
      <c r="T239" s="11"/>
    </row>
    <row r="240" spans="1:20" x14ac:dyDescent="0.3">
      <c r="A240">
        <v>239</v>
      </c>
      <c r="B240" s="95" t="s">
        <v>1057</v>
      </c>
      <c r="C240" s="95" t="s">
        <v>364</v>
      </c>
      <c r="D240" s="95" t="s">
        <v>365</v>
      </c>
      <c r="E240" s="96">
        <v>45917.270277777781</v>
      </c>
      <c r="F240" s="134" t="s">
        <v>1026</v>
      </c>
      <c r="G240" s="71">
        <v>90</v>
      </c>
      <c r="H240" s="71">
        <v>144</v>
      </c>
      <c r="I240" s="81">
        <v>0</v>
      </c>
      <c r="J240" s="71">
        <v>0</v>
      </c>
      <c r="K240" s="66" t="s">
        <v>989</v>
      </c>
      <c r="L240" s="73" t="s">
        <v>1010</v>
      </c>
      <c r="M240" s="73" t="s">
        <v>1010</v>
      </c>
      <c r="N240" s="74">
        <v>46030</v>
      </c>
      <c r="O240" s="74">
        <v>46063</v>
      </c>
      <c r="P240" s="74"/>
      <c r="Q240" s="1">
        <v>1442</v>
      </c>
      <c r="R240" t="str">
        <f t="shared" si="3"/>
        <v>Abierto</v>
      </c>
      <c r="S240" s="1" t="s">
        <v>994</v>
      </c>
      <c r="T240" s="1"/>
    </row>
    <row r="241" spans="1:20" s="1" customFormat="1" x14ac:dyDescent="0.3">
      <c r="A241">
        <v>240</v>
      </c>
      <c r="B241" s="95" t="s">
        <v>1061</v>
      </c>
      <c r="C241" s="95" t="s">
        <v>366</v>
      </c>
      <c r="D241" s="95" t="s">
        <v>367</v>
      </c>
      <c r="E241" s="96">
        <v>45917.882233796299</v>
      </c>
      <c r="F241" s="134" t="s">
        <v>1022</v>
      </c>
      <c r="G241" s="71">
        <v>80</v>
      </c>
      <c r="H241" s="71">
        <v>255</v>
      </c>
      <c r="I241" s="81">
        <v>0</v>
      </c>
      <c r="J241" s="71">
        <v>0</v>
      </c>
      <c r="K241" s="66" t="s">
        <v>989</v>
      </c>
      <c r="L241" s="73" t="s">
        <v>1010</v>
      </c>
      <c r="M241" s="73" t="s">
        <v>1010</v>
      </c>
      <c r="N241" s="74">
        <v>45937</v>
      </c>
      <c r="O241" s="74">
        <v>45971</v>
      </c>
      <c r="P241" s="74"/>
      <c r="Q241" s="1">
        <v>1372</v>
      </c>
      <c r="R241" t="str">
        <f t="shared" si="3"/>
        <v>Abierto</v>
      </c>
      <c r="S241" s="1" t="s">
        <v>994</v>
      </c>
    </row>
    <row r="242" spans="1:20" s="1" customFormat="1" x14ac:dyDescent="0.3">
      <c r="A242">
        <v>241</v>
      </c>
      <c r="B242" s="95" t="s">
        <v>1073</v>
      </c>
      <c r="C242" s="95" t="s">
        <v>368</v>
      </c>
      <c r="D242" s="95" t="s">
        <v>369</v>
      </c>
      <c r="E242" s="96">
        <v>45918.315532407411</v>
      </c>
      <c r="F242" s="134" t="s">
        <v>1049</v>
      </c>
      <c r="G242" s="71">
        <v>80</v>
      </c>
      <c r="H242" s="71">
        <v>291</v>
      </c>
      <c r="I242" s="81">
        <v>0</v>
      </c>
      <c r="J242" s="71">
        <v>291</v>
      </c>
      <c r="K242" s="66" t="s">
        <v>989</v>
      </c>
      <c r="L242" s="73" t="s">
        <v>1010</v>
      </c>
      <c r="M242" s="73" t="s">
        <v>1010</v>
      </c>
      <c r="N242" s="74">
        <v>45937</v>
      </c>
      <c r="O242" s="74">
        <v>45971</v>
      </c>
      <c r="P242" s="74"/>
      <c r="Q242" s="1">
        <v>1371</v>
      </c>
      <c r="R242" t="str">
        <f t="shared" si="3"/>
        <v>Abierto</v>
      </c>
      <c r="S242" s="1" t="s">
        <v>994</v>
      </c>
    </row>
    <row r="243" spans="1:20" s="1" customFormat="1" x14ac:dyDescent="0.3">
      <c r="A243">
        <v>242</v>
      </c>
      <c r="B243" s="95" t="s">
        <v>1073</v>
      </c>
      <c r="C243" s="95" t="s">
        <v>370</v>
      </c>
      <c r="D243" s="95" t="s">
        <v>371</v>
      </c>
      <c r="E243" s="96">
        <v>45918.833240740743</v>
      </c>
      <c r="F243" s="134" t="s">
        <v>1018</v>
      </c>
      <c r="G243" s="71">
        <v>70</v>
      </c>
      <c r="H243" s="71">
        <v>0</v>
      </c>
      <c r="I243" s="81">
        <v>0</v>
      </c>
      <c r="J243" s="71">
        <v>0</v>
      </c>
      <c r="K243" s="66" t="s">
        <v>989</v>
      </c>
      <c r="L243" s="73" t="s">
        <v>1009</v>
      </c>
      <c r="M243" s="73" t="s">
        <v>1009</v>
      </c>
      <c r="N243" s="74">
        <v>45937</v>
      </c>
      <c r="O243" s="74">
        <v>45971</v>
      </c>
      <c r="P243" s="74"/>
      <c r="Q243" s="1">
        <v>1370</v>
      </c>
      <c r="R243" t="str">
        <f t="shared" si="3"/>
        <v>Abierto</v>
      </c>
      <c r="S243" s="1" t="s">
        <v>994</v>
      </c>
    </row>
    <row r="244" spans="1:20" s="12" customFormat="1" x14ac:dyDescent="0.3">
      <c r="A244">
        <v>243</v>
      </c>
      <c r="B244" s="12" t="s">
        <v>1060</v>
      </c>
      <c r="C244" s="12" t="s">
        <v>372</v>
      </c>
      <c r="D244" s="60" t="s">
        <v>373</v>
      </c>
      <c r="E244" s="61">
        <v>45919</v>
      </c>
      <c r="F244" s="135" t="s">
        <v>1018</v>
      </c>
      <c r="G244" s="62">
        <v>70</v>
      </c>
      <c r="H244" s="62">
        <v>0</v>
      </c>
      <c r="I244" s="67">
        <v>0</v>
      </c>
      <c r="J244" s="62">
        <v>0</v>
      </c>
      <c r="K244" s="66" t="s">
        <v>989</v>
      </c>
      <c r="L244" s="64" t="s">
        <v>1009</v>
      </c>
      <c r="M244" s="64" t="s">
        <v>1009</v>
      </c>
      <c r="N244" s="65">
        <v>45937</v>
      </c>
      <c r="O244" s="65">
        <v>45971</v>
      </c>
      <c r="P244" s="65">
        <v>46024</v>
      </c>
      <c r="Q244" s="12" t="s">
        <v>374</v>
      </c>
      <c r="R244" t="str">
        <f t="shared" si="3"/>
        <v>Cerrado</v>
      </c>
      <c r="S244" s="12" t="s">
        <v>995</v>
      </c>
    </row>
    <row r="245" spans="1:20" s="11" customFormat="1" x14ac:dyDescent="0.3">
      <c r="A245">
        <v>244</v>
      </c>
      <c r="B245" s="11" t="s">
        <v>1062</v>
      </c>
      <c r="C245" s="11" t="s">
        <v>375</v>
      </c>
      <c r="D245" s="9" t="s">
        <v>1011</v>
      </c>
      <c r="E245" s="75">
        <v>45920</v>
      </c>
      <c r="F245" s="130" t="s">
        <v>1025</v>
      </c>
      <c r="G245" s="76">
        <v>0</v>
      </c>
      <c r="H245" s="76">
        <v>0</v>
      </c>
      <c r="I245" s="89">
        <v>0</v>
      </c>
      <c r="J245" s="76">
        <v>0</v>
      </c>
      <c r="K245" s="66" t="s">
        <v>989</v>
      </c>
      <c r="L245" s="78" t="s">
        <v>1009</v>
      </c>
      <c r="M245" s="78" t="s">
        <v>1009</v>
      </c>
      <c r="N245" s="79"/>
      <c r="O245" s="79"/>
      <c r="P245" s="79"/>
      <c r="R245" t="str">
        <f t="shared" si="3"/>
        <v>Cerrado</v>
      </c>
      <c r="S245" s="11" t="s">
        <v>993</v>
      </c>
    </row>
    <row r="246" spans="1:20" s="11" customFormat="1" x14ac:dyDescent="0.3">
      <c r="A246">
        <v>245</v>
      </c>
      <c r="B246" s="11" t="s">
        <v>1058</v>
      </c>
      <c r="C246" s="11" t="s">
        <v>376</v>
      </c>
      <c r="D246" s="9" t="s">
        <v>1011</v>
      </c>
      <c r="E246" s="75">
        <v>45920</v>
      </c>
      <c r="F246" s="130" t="s">
        <v>1016</v>
      </c>
      <c r="G246" s="76">
        <v>0</v>
      </c>
      <c r="H246" s="76">
        <v>0</v>
      </c>
      <c r="I246" s="89">
        <v>0</v>
      </c>
      <c r="J246" s="76">
        <v>0</v>
      </c>
      <c r="K246" s="66" t="s">
        <v>989</v>
      </c>
      <c r="L246" s="78" t="s">
        <v>1009</v>
      </c>
      <c r="M246" s="78" t="s">
        <v>1009</v>
      </c>
      <c r="N246" s="79"/>
      <c r="O246" s="79"/>
      <c r="P246" s="79"/>
      <c r="R246" t="str">
        <f t="shared" si="3"/>
        <v>Cerrado</v>
      </c>
      <c r="S246" s="11" t="s">
        <v>993</v>
      </c>
    </row>
    <row r="247" spans="1:20" s="11" customFormat="1" x14ac:dyDescent="0.3">
      <c r="A247">
        <v>246</v>
      </c>
      <c r="B247" s="11" t="s">
        <v>1070</v>
      </c>
      <c r="C247" s="11" t="s">
        <v>377</v>
      </c>
      <c r="D247" s="9" t="s">
        <v>1011</v>
      </c>
      <c r="E247" s="75">
        <v>45920</v>
      </c>
      <c r="F247" s="130" t="s">
        <v>1016</v>
      </c>
      <c r="G247" s="76">
        <v>0</v>
      </c>
      <c r="H247" s="76">
        <v>0</v>
      </c>
      <c r="I247" s="89">
        <v>0</v>
      </c>
      <c r="J247" s="76">
        <v>0</v>
      </c>
      <c r="K247" s="66" t="s">
        <v>989</v>
      </c>
      <c r="L247" s="78" t="s">
        <v>1009</v>
      </c>
      <c r="M247" s="78" t="s">
        <v>1009</v>
      </c>
      <c r="N247" s="79"/>
      <c r="O247" s="79"/>
      <c r="P247" s="79"/>
      <c r="R247" t="str">
        <f t="shared" si="3"/>
        <v>Cerrado</v>
      </c>
      <c r="S247" s="11" t="s">
        <v>993</v>
      </c>
    </row>
    <row r="248" spans="1:20" s="11" customFormat="1" x14ac:dyDescent="0.3">
      <c r="A248">
        <v>247</v>
      </c>
      <c r="B248" s="11" t="s">
        <v>1057</v>
      </c>
      <c r="C248" s="11" t="s">
        <v>378</v>
      </c>
      <c r="D248" s="9" t="s">
        <v>1011</v>
      </c>
      <c r="E248" s="75">
        <v>45921</v>
      </c>
      <c r="F248" s="130" t="s">
        <v>1051</v>
      </c>
      <c r="G248" s="76">
        <v>0</v>
      </c>
      <c r="H248" s="76">
        <v>0</v>
      </c>
      <c r="I248" s="89">
        <v>0</v>
      </c>
      <c r="J248" s="76">
        <v>0</v>
      </c>
      <c r="K248" s="66" t="s">
        <v>989</v>
      </c>
      <c r="L248" s="78" t="s">
        <v>1009</v>
      </c>
      <c r="M248" s="78" t="s">
        <v>1009</v>
      </c>
      <c r="N248" s="79"/>
      <c r="O248" s="79"/>
      <c r="P248" s="79"/>
      <c r="R248" t="str">
        <f t="shared" si="3"/>
        <v>Cerrado</v>
      </c>
      <c r="S248" s="11" t="s">
        <v>993</v>
      </c>
    </row>
    <row r="249" spans="1:20" s="11" customFormat="1" x14ac:dyDescent="0.3">
      <c r="A249">
        <v>248</v>
      </c>
      <c r="B249" s="11" t="s">
        <v>1057</v>
      </c>
      <c r="C249" s="11" t="s">
        <v>379</v>
      </c>
      <c r="D249" s="9" t="s">
        <v>1011</v>
      </c>
      <c r="E249" s="75">
        <v>45921</v>
      </c>
      <c r="F249" s="130" t="s">
        <v>1052</v>
      </c>
      <c r="G249" s="76">
        <v>0</v>
      </c>
      <c r="H249" s="76">
        <v>0</v>
      </c>
      <c r="I249" s="89">
        <v>0</v>
      </c>
      <c r="J249" s="76">
        <v>0</v>
      </c>
      <c r="K249" s="66" t="s">
        <v>989</v>
      </c>
      <c r="L249" s="78" t="s">
        <v>1009</v>
      </c>
      <c r="M249" s="78" t="s">
        <v>1009</v>
      </c>
      <c r="N249" s="79"/>
      <c r="O249" s="79"/>
      <c r="P249" s="79"/>
      <c r="R249" t="str">
        <f t="shared" si="3"/>
        <v>Cerrado</v>
      </c>
      <c r="S249" s="11" t="s">
        <v>993</v>
      </c>
    </row>
    <row r="250" spans="1:20" s="1" customFormat="1" x14ac:dyDescent="0.3">
      <c r="A250">
        <v>249</v>
      </c>
      <c r="B250" s="95" t="s">
        <v>1073</v>
      </c>
      <c r="C250" s="1" t="s">
        <v>382</v>
      </c>
      <c r="D250" s="69" t="s">
        <v>383</v>
      </c>
      <c r="E250" s="70">
        <v>45922</v>
      </c>
      <c r="F250" s="127" t="s">
        <v>1016</v>
      </c>
      <c r="G250" s="71">
        <v>80</v>
      </c>
      <c r="H250" s="71">
        <v>114</v>
      </c>
      <c r="I250" s="81">
        <v>0</v>
      </c>
      <c r="J250" s="71">
        <v>114</v>
      </c>
      <c r="K250" s="66" t="s">
        <v>989</v>
      </c>
      <c r="L250" s="73" t="s">
        <v>1010</v>
      </c>
      <c r="M250" s="73" t="s">
        <v>1010</v>
      </c>
      <c r="N250" s="74">
        <v>45937</v>
      </c>
      <c r="O250" s="74">
        <v>45971</v>
      </c>
      <c r="P250" s="74"/>
      <c r="Q250" s="1">
        <v>1368</v>
      </c>
      <c r="R250" t="str">
        <f t="shared" si="3"/>
        <v>Abierto</v>
      </c>
      <c r="S250" s="1" t="s">
        <v>994</v>
      </c>
    </row>
    <row r="251" spans="1:20" x14ac:dyDescent="0.3">
      <c r="A251">
        <v>250</v>
      </c>
      <c r="B251" s="95" t="s">
        <v>1073</v>
      </c>
      <c r="C251" s="1" t="s">
        <v>384</v>
      </c>
      <c r="D251" s="69" t="s">
        <v>385</v>
      </c>
      <c r="E251" s="70">
        <v>45922</v>
      </c>
      <c r="F251" s="127" t="s">
        <v>1016</v>
      </c>
      <c r="G251" s="71">
        <v>80</v>
      </c>
      <c r="H251" s="71">
        <v>0</v>
      </c>
      <c r="I251" s="81">
        <v>0</v>
      </c>
      <c r="J251" s="71">
        <v>0</v>
      </c>
      <c r="K251" s="66" t="s">
        <v>989</v>
      </c>
      <c r="L251" s="73" t="s">
        <v>1009</v>
      </c>
      <c r="M251" s="73" t="s">
        <v>1009</v>
      </c>
      <c r="N251" s="74">
        <v>45938</v>
      </c>
      <c r="O251" s="74">
        <v>45971</v>
      </c>
      <c r="P251" s="74"/>
      <c r="Q251" s="1">
        <v>1383</v>
      </c>
      <c r="R251" t="str">
        <f t="shared" si="3"/>
        <v>Abierto</v>
      </c>
      <c r="S251" s="1" t="s">
        <v>994</v>
      </c>
      <c r="T251" s="1"/>
    </row>
    <row r="252" spans="1:20" s="1" customFormat="1" x14ac:dyDescent="0.3">
      <c r="A252">
        <v>251</v>
      </c>
      <c r="B252" s="86" t="s">
        <v>1073</v>
      </c>
      <c r="C252" s="11" t="s">
        <v>380</v>
      </c>
      <c r="D252" s="83" t="s">
        <v>381</v>
      </c>
      <c r="E252" s="75">
        <v>45922</v>
      </c>
      <c r="F252" s="130" t="s">
        <v>1016</v>
      </c>
      <c r="G252" s="76">
        <v>0</v>
      </c>
      <c r="H252" s="76">
        <v>0</v>
      </c>
      <c r="I252" s="89">
        <v>0</v>
      </c>
      <c r="J252" s="76">
        <v>0</v>
      </c>
      <c r="K252" s="66" t="s">
        <v>989</v>
      </c>
      <c r="L252" s="78" t="s">
        <v>1009</v>
      </c>
      <c r="M252" s="78" t="s">
        <v>1009</v>
      </c>
      <c r="N252" s="79"/>
      <c r="O252" s="79"/>
      <c r="P252" s="79"/>
      <c r="Q252" s="11"/>
      <c r="R252" t="str">
        <f t="shared" si="3"/>
        <v>Cerrado</v>
      </c>
      <c r="S252" s="11" t="s">
        <v>993</v>
      </c>
      <c r="T252" s="11"/>
    </row>
    <row r="253" spans="1:20" s="1" customFormat="1" x14ac:dyDescent="0.3">
      <c r="A253">
        <v>252</v>
      </c>
      <c r="B253" s="1" t="s">
        <v>1057</v>
      </c>
      <c r="C253" s="1" t="s">
        <v>386</v>
      </c>
      <c r="D253" s="69">
        <v>2537484902</v>
      </c>
      <c r="E253" s="70">
        <v>45924</v>
      </c>
      <c r="F253" s="127" t="s">
        <v>1030</v>
      </c>
      <c r="G253" s="71">
        <v>90</v>
      </c>
      <c r="H253" s="71">
        <v>0</v>
      </c>
      <c r="I253" s="81">
        <v>0</v>
      </c>
      <c r="J253" s="71">
        <v>0</v>
      </c>
      <c r="K253" s="66" t="s">
        <v>989</v>
      </c>
      <c r="L253" s="73" t="s">
        <v>1009</v>
      </c>
      <c r="M253" s="73" t="s">
        <v>1009</v>
      </c>
      <c r="N253" s="74">
        <v>45936</v>
      </c>
      <c r="O253" s="74">
        <v>45971</v>
      </c>
      <c r="P253" s="74"/>
      <c r="Q253" s="1">
        <v>1364</v>
      </c>
      <c r="R253" t="str">
        <f t="shared" si="3"/>
        <v>Abierto</v>
      </c>
      <c r="S253" s="1" t="s">
        <v>994</v>
      </c>
    </row>
    <row r="254" spans="1:20" x14ac:dyDescent="0.3">
      <c r="A254">
        <v>253</v>
      </c>
      <c r="B254" s="95" t="s">
        <v>1073</v>
      </c>
      <c r="C254" s="1" t="s">
        <v>387</v>
      </c>
      <c r="D254" s="69" t="s">
        <v>388</v>
      </c>
      <c r="E254" s="70">
        <v>45924</v>
      </c>
      <c r="F254" s="127" t="s">
        <v>1016</v>
      </c>
      <c r="G254" s="71">
        <v>80</v>
      </c>
      <c r="H254" s="71">
        <v>180</v>
      </c>
      <c r="I254" s="81">
        <v>0</v>
      </c>
      <c r="J254" s="71">
        <v>180</v>
      </c>
      <c r="K254" s="66" t="s">
        <v>989</v>
      </c>
      <c r="L254" s="73" t="s">
        <v>1010</v>
      </c>
      <c r="M254" s="73" t="s">
        <v>1010</v>
      </c>
      <c r="N254" s="74">
        <v>45937</v>
      </c>
      <c r="O254" s="74">
        <v>45971</v>
      </c>
      <c r="P254" s="74"/>
      <c r="Q254" s="1">
        <v>1367</v>
      </c>
      <c r="R254" t="str">
        <f t="shared" si="3"/>
        <v>Abierto</v>
      </c>
      <c r="S254" s="1" t="s">
        <v>994</v>
      </c>
      <c r="T254" s="1"/>
    </row>
    <row r="255" spans="1:20" s="12" customFormat="1" x14ac:dyDescent="0.3">
      <c r="A255">
        <v>254</v>
      </c>
      <c r="B255" s="12" t="s">
        <v>1074</v>
      </c>
      <c r="C255" s="12" t="s">
        <v>389</v>
      </c>
      <c r="D255" s="60" t="s">
        <v>390</v>
      </c>
      <c r="E255" s="61">
        <v>45924</v>
      </c>
      <c r="F255" s="128" t="s">
        <v>1018</v>
      </c>
      <c r="G255" s="62">
        <v>70</v>
      </c>
      <c r="H255" s="62" t="s">
        <v>1079</v>
      </c>
      <c r="I255" s="67">
        <v>0</v>
      </c>
      <c r="J255" s="62">
        <v>105.28</v>
      </c>
      <c r="K255" s="66" t="s">
        <v>989</v>
      </c>
      <c r="L255" s="64" t="s">
        <v>1010</v>
      </c>
      <c r="M255" s="64" t="s">
        <v>1010</v>
      </c>
      <c r="N255" s="65">
        <v>45940</v>
      </c>
      <c r="O255" s="65">
        <v>46001</v>
      </c>
      <c r="P255" s="65">
        <v>45985</v>
      </c>
      <c r="Q255" s="12">
        <v>1410</v>
      </c>
      <c r="R255" t="str">
        <f t="shared" si="3"/>
        <v>Cerrado</v>
      </c>
      <c r="S255" s="12" t="s">
        <v>995</v>
      </c>
    </row>
    <row r="256" spans="1:20" s="11" customFormat="1" x14ac:dyDescent="0.3">
      <c r="A256">
        <v>255</v>
      </c>
      <c r="B256" s="95" t="s">
        <v>1073</v>
      </c>
      <c r="C256" s="1" t="s">
        <v>391</v>
      </c>
      <c r="D256" s="117" t="s">
        <v>1011</v>
      </c>
      <c r="E256" s="70">
        <v>45925</v>
      </c>
      <c r="F256" s="127" t="s">
        <v>1049</v>
      </c>
      <c r="G256" s="71">
        <v>80</v>
      </c>
      <c r="H256" s="71">
        <v>291</v>
      </c>
      <c r="I256" s="81">
        <v>0</v>
      </c>
      <c r="J256" s="71">
        <v>291</v>
      </c>
      <c r="K256" s="66" t="s">
        <v>989</v>
      </c>
      <c r="L256" s="73" t="s">
        <v>1010</v>
      </c>
      <c r="M256" s="73" t="s">
        <v>1010</v>
      </c>
      <c r="N256" s="74">
        <v>45936</v>
      </c>
      <c r="O256" s="74">
        <v>45971</v>
      </c>
      <c r="P256" s="74"/>
      <c r="Q256" s="1">
        <v>1363</v>
      </c>
      <c r="R256" t="str">
        <f t="shared" si="3"/>
        <v>Abierto</v>
      </c>
      <c r="S256" s="1" t="s">
        <v>994</v>
      </c>
      <c r="T256" s="1"/>
    </row>
    <row r="257" spans="1:20" x14ac:dyDescent="0.3">
      <c r="A257">
        <v>256</v>
      </c>
      <c r="B257" s="11" t="s">
        <v>1058</v>
      </c>
      <c r="C257" s="11" t="s">
        <v>392</v>
      </c>
      <c r="D257" s="9" t="s">
        <v>1011</v>
      </c>
      <c r="E257" s="75">
        <v>45929</v>
      </c>
      <c r="F257" s="130" t="s">
        <v>1016</v>
      </c>
      <c r="G257" s="76">
        <v>0</v>
      </c>
      <c r="H257" s="76">
        <v>0</v>
      </c>
      <c r="I257" s="89">
        <v>0</v>
      </c>
      <c r="J257" s="76">
        <v>0</v>
      </c>
      <c r="K257" s="66" t="s">
        <v>989</v>
      </c>
      <c r="L257" s="78" t="s">
        <v>1009</v>
      </c>
      <c r="M257" s="78" t="s">
        <v>1009</v>
      </c>
      <c r="N257" s="79"/>
      <c r="O257" s="79"/>
      <c r="P257" s="79"/>
      <c r="Q257" s="11"/>
      <c r="R257" t="str">
        <f t="shared" si="3"/>
        <v>Cerrado</v>
      </c>
      <c r="S257" s="11" t="s">
        <v>993</v>
      </c>
      <c r="T257" s="11"/>
    </row>
    <row r="258" spans="1:20" x14ac:dyDescent="0.3">
      <c r="A258">
        <v>257</v>
      </c>
      <c r="B258" t="s">
        <v>1060</v>
      </c>
      <c r="C258" t="s">
        <v>393</v>
      </c>
      <c r="D258" s="6" t="s">
        <v>394</v>
      </c>
      <c r="E258" s="49">
        <v>45931</v>
      </c>
      <c r="F258" s="132" t="s">
        <v>1018</v>
      </c>
      <c r="G258" s="44">
        <v>70</v>
      </c>
      <c r="H258" s="44">
        <v>0</v>
      </c>
      <c r="I258" s="20">
        <v>0</v>
      </c>
      <c r="J258" s="44">
        <v>0</v>
      </c>
      <c r="K258" s="66" t="s">
        <v>989</v>
      </c>
      <c r="L258" s="7" t="s">
        <v>1009</v>
      </c>
      <c r="M258" s="7" t="s">
        <v>1009</v>
      </c>
      <c r="R258" t="str">
        <f t="shared" ref="R258:R321" si="4">IF(OR(S258="On Going", S258="Refacturado", S258="Para Refacturar"), "Abierto", IF(OR(S258="Cobrado", S258="No Fee"), "Cerrado", ""))</f>
        <v>Abierto</v>
      </c>
      <c r="S258" t="s">
        <v>996</v>
      </c>
    </row>
    <row r="259" spans="1:20" s="11" customFormat="1" x14ac:dyDescent="0.3">
      <c r="A259">
        <v>258</v>
      </c>
      <c r="B259" t="s">
        <v>1060</v>
      </c>
      <c r="C259" t="s">
        <v>395</v>
      </c>
      <c r="D259" s="6" t="s">
        <v>396</v>
      </c>
      <c r="E259" s="49">
        <v>45931</v>
      </c>
      <c r="F259" s="132" t="s">
        <v>1018</v>
      </c>
      <c r="G259" s="44">
        <v>70</v>
      </c>
      <c r="H259" s="44">
        <v>0</v>
      </c>
      <c r="I259" s="20">
        <v>0</v>
      </c>
      <c r="J259" s="44">
        <v>0</v>
      </c>
      <c r="K259" s="66" t="s">
        <v>989</v>
      </c>
      <c r="L259" s="7" t="s">
        <v>1009</v>
      </c>
      <c r="M259" s="7" t="s">
        <v>1009</v>
      </c>
      <c r="N259" s="54"/>
      <c r="O259" s="54"/>
      <c r="P259" s="54"/>
      <c r="Q259"/>
      <c r="R259" t="str">
        <f t="shared" si="4"/>
        <v>Abierto</v>
      </c>
      <c r="S259" t="s">
        <v>996</v>
      </c>
      <c r="T259"/>
    </row>
    <row r="260" spans="1:20" s="11" customFormat="1" x14ac:dyDescent="0.3">
      <c r="A260">
        <v>259</v>
      </c>
      <c r="B260" s="1" t="s">
        <v>1060</v>
      </c>
      <c r="C260" s="1" t="s">
        <v>397</v>
      </c>
      <c r="D260" s="69" t="s">
        <v>398</v>
      </c>
      <c r="E260" s="70">
        <v>45934</v>
      </c>
      <c r="F260" s="127" t="s">
        <v>1018</v>
      </c>
      <c r="G260" s="71">
        <v>70</v>
      </c>
      <c r="H260" s="71">
        <v>0</v>
      </c>
      <c r="I260" s="81">
        <v>0</v>
      </c>
      <c r="J260" s="71">
        <v>0</v>
      </c>
      <c r="K260" s="66" t="s">
        <v>989</v>
      </c>
      <c r="L260" s="73" t="s">
        <v>1010</v>
      </c>
      <c r="M260" s="73" t="s">
        <v>1010</v>
      </c>
      <c r="N260" s="74">
        <v>46001</v>
      </c>
      <c r="O260" s="74" t="s">
        <v>329</v>
      </c>
      <c r="P260" s="74"/>
      <c r="Q260" s="1">
        <v>1421</v>
      </c>
      <c r="R260" t="str">
        <f t="shared" si="4"/>
        <v>Abierto</v>
      </c>
      <c r="S260" s="1" t="s">
        <v>994</v>
      </c>
      <c r="T260" s="1"/>
    </row>
    <row r="261" spans="1:20" s="1" customFormat="1" x14ac:dyDescent="0.3">
      <c r="A261">
        <v>260</v>
      </c>
      <c r="B261" s="11" t="s">
        <v>1057</v>
      </c>
      <c r="C261" s="11" t="s">
        <v>399</v>
      </c>
      <c r="D261" s="83">
        <v>2735207803</v>
      </c>
      <c r="E261" s="75">
        <v>45935</v>
      </c>
      <c r="F261" s="130" t="s">
        <v>1030</v>
      </c>
      <c r="G261" s="76">
        <v>0</v>
      </c>
      <c r="H261" s="76">
        <v>0</v>
      </c>
      <c r="I261" s="89">
        <v>0</v>
      </c>
      <c r="J261" s="76">
        <v>0</v>
      </c>
      <c r="K261" s="66" t="s">
        <v>989</v>
      </c>
      <c r="L261" s="78" t="s">
        <v>1009</v>
      </c>
      <c r="M261" s="78" t="s">
        <v>1009</v>
      </c>
      <c r="N261" s="79"/>
      <c r="O261" s="79"/>
      <c r="P261" s="79"/>
      <c r="Q261" s="11"/>
      <c r="R261" t="str">
        <f t="shared" si="4"/>
        <v>Cerrado</v>
      </c>
      <c r="S261" s="11" t="s">
        <v>993</v>
      </c>
      <c r="T261" s="11"/>
    </row>
    <row r="262" spans="1:20" s="1" customFormat="1" x14ac:dyDescent="0.3">
      <c r="A262">
        <v>261</v>
      </c>
      <c r="B262" s="11" t="s">
        <v>1073</v>
      </c>
      <c r="C262" s="11" t="s">
        <v>400</v>
      </c>
      <c r="D262" s="83" t="s">
        <v>401</v>
      </c>
      <c r="E262" s="75">
        <v>45935</v>
      </c>
      <c r="F262" s="130" t="s">
        <v>1016</v>
      </c>
      <c r="G262" s="76">
        <v>0</v>
      </c>
      <c r="H262" s="76">
        <v>0</v>
      </c>
      <c r="I262" s="89">
        <v>0</v>
      </c>
      <c r="J262" s="76">
        <v>0</v>
      </c>
      <c r="K262" s="66" t="s">
        <v>989</v>
      </c>
      <c r="L262" s="78" t="s">
        <v>1009</v>
      </c>
      <c r="M262" s="78" t="s">
        <v>1009</v>
      </c>
      <c r="N262" s="79"/>
      <c r="O262" s="79"/>
      <c r="P262" s="79"/>
      <c r="Q262" s="11"/>
      <c r="R262" t="str">
        <f t="shared" si="4"/>
        <v>Cerrado</v>
      </c>
      <c r="S262" s="11" t="s">
        <v>993</v>
      </c>
      <c r="T262" s="11"/>
    </row>
    <row r="263" spans="1:20" x14ac:dyDescent="0.3">
      <c r="A263">
        <v>262</v>
      </c>
      <c r="B263" s="11" t="s">
        <v>1057</v>
      </c>
      <c r="C263" s="11" t="s">
        <v>402</v>
      </c>
      <c r="D263" s="9" t="s">
        <v>1011</v>
      </c>
      <c r="E263" s="75">
        <v>45935</v>
      </c>
      <c r="F263" s="130" t="s">
        <v>1046</v>
      </c>
      <c r="G263" s="76">
        <v>0</v>
      </c>
      <c r="H263" s="76">
        <v>0</v>
      </c>
      <c r="I263" s="89">
        <v>0</v>
      </c>
      <c r="J263" s="76">
        <v>0</v>
      </c>
      <c r="K263" s="66" t="s">
        <v>989</v>
      </c>
      <c r="L263" s="78" t="s">
        <v>1009</v>
      </c>
      <c r="M263" s="78" t="s">
        <v>1009</v>
      </c>
      <c r="N263" s="79"/>
      <c r="O263" s="79"/>
      <c r="P263" s="79"/>
      <c r="Q263" s="11"/>
      <c r="R263" t="str">
        <f t="shared" si="4"/>
        <v>Cerrado</v>
      </c>
      <c r="S263" s="11" t="s">
        <v>993</v>
      </c>
      <c r="T263" s="11"/>
    </row>
    <row r="264" spans="1:20" x14ac:dyDescent="0.3">
      <c r="A264">
        <v>263</v>
      </c>
      <c r="B264" s="11" t="s">
        <v>1057</v>
      </c>
      <c r="C264" s="11" t="s">
        <v>403</v>
      </c>
      <c r="D264" s="9" t="s">
        <v>1011</v>
      </c>
      <c r="E264" s="75">
        <v>45936</v>
      </c>
      <c r="F264" s="130" t="s">
        <v>1044</v>
      </c>
      <c r="G264" s="76">
        <v>0</v>
      </c>
      <c r="H264" s="76">
        <v>0</v>
      </c>
      <c r="I264" s="89">
        <v>0</v>
      </c>
      <c r="J264" s="76">
        <v>0</v>
      </c>
      <c r="K264" s="66" t="s">
        <v>989</v>
      </c>
      <c r="L264" s="78" t="s">
        <v>1009</v>
      </c>
      <c r="M264" s="78" t="s">
        <v>1009</v>
      </c>
      <c r="N264" s="79"/>
      <c r="O264" s="79"/>
      <c r="P264" s="79"/>
      <c r="Q264" s="11"/>
      <c r="R264" t="str">
        <f t="shared" si="4"/>
        <v>Cerrado</v>
      </c>
      <c r="S264" s="11" t="s">
        <v>993</v>
      </c>
      <c r="T264" s="11"/>
    </row>
    <row r="265" spans="1:20" x14ac:dyDescent="0.3">
      <c r="A265">
        <v>264</v>
      </c>
      <c r="B265" s="1" t="s">
        <v>1073</v>
      </c>
      <c r="C265" s="1" t="s">
        <v>404</v>
      </c>
      <c r="D265" s="69" t="s">
        <v>405</v>
      </c>
      <c r="E265" s="70">
        <v>45937</v>
      </c>
      <c r="F265" s="127" t="s">
        <v>1018</v>
      </c>
      <c r="G265" s="71">
        <v>70</v>
      </c>
      <c r="H265" s="71">
        <v>0</v>
      </c>
      <c r="I265" s="81">
        <v>0</v>
      </c>
      <c r="J265" s="71">
        <v>0</v>
      </c>
      <c r="K265" s="66" t="s">
        <v>989</v>
      </c>
      <c r="L265" s="73" t="s">
        <v>1009</v>
      </c>
      <c r="M265" s="73" t="s">
        <v>1009</v>
      </c>
      <c r="N265" s="74">
        <v>45939</v>
      </c>
      <c r="O265" s="74">
        <v>45971</v>
      </c>
      <c r="P265" s="74"/>
      <c r="Q265" s="1">
        <v>1384</v>
      </c>
      <c r="R265" t="str">
        <f t="shared" si="4"/>
        <v>Abierto</v>
      </c>
      <c r="S265" s="1" t="s">
        <v>994</v>
      </c>
      <c r="T265" s="1"/>
    </row>
    <row r="266" spans="1:20" x14ac:dyDescent="0.3">
      <c r="A266">
        <v>265</v>
      </c>
      <c r="B266" s="28" t="s">
        <v>1069</v>
      </c>
      <c r="C266" s="28" t="s">
        <v>406</v>
      </c>
      <c r="D266" s="118" t="s">
        <v>1011</v>
      </c>
      <c r="E266" s="91">
        <v>45937</v>
      </c>
      <c r="F266" s="133" t="s">
        <v>1053</v>
      </c>
      <c r="G266" s="92">
        <v>80</v>
      </c>
      <c r="H266" s="92">
        <v>0</v>
      </c>
      <c r="I266" s="20">
        <v>0</v>
      </c>
      <c r="J266" s="92">
        <v>0</v>
      </c>
      <c r="K266" s="66" t="s">
        <v>989</v>
      </c>
      <c r="L266" s="93" t="s">
        <v>1009</v>
      </c>
      <c r="M266" s="93" t="s">
        <v>1009</v>
      </c>
      <c r="N266" s="94"/>
      <c r="O266" s="94"/>
      <c r="P266" s="94"/>
      <c r="Q266" s="28"/>
      <c r="R266" t="str">
        <f t="shared" si="4"/>
        <v>Abierto</v>
      </c>
      <c r="S266" t="s">
        <v>997</v>
      </c>
    </row>
    <row r="267" spans="1:20" x14ac:dyDescent="0.3">
      <c r="A267">
        <v>266</v>
      </c>
      <c r="B267" s="11" t="s">
        <v>1062</v>
      </c>
      <c r="C267" s="11" t="s">
        <v>407</v>
      </c>
      <c r="D267" s="9" t="s">
        <v>1011</v>
      </c>
      <c r="E267" s="75">
        <v>45937</v>
      </c>
      <c r="F267" s="130" t="s">
        <v>1025</v>
      </c>
      <c r="G267" s="76">
        <v>0</v>
      </c>
      <c r="H267" s="76">
        <v>0</v>
      </c>
      <c r="I267" s="89">
        <v>0</v>
      </c>
      <c r="J267" s="76">
        <v>0</v>
      </c>
      <c r="K267" s="66" t="s">
        <v>989</v>
      </c>
      <c r="L267" s="78" t="s">
        <v>1009</v>
      </c>
      <c r="M267" s="78" t="s">
        <v>1009</v>
      </c>
      <c r="N267" s="79"/>
      <c r="O267" s="79"/>
      <c r="P267" s="79"/>
      <c r="Q267" s="11"/>
      <c r="R267" t="str">
        <f t="shared" si="4"/>
        <v>Cerrado</v>
      </c>
      <c r="S267" s="11" t="s">
        <v>993</v>
      </c>
      <c r="T267" s="11"/>
    </row>
    <row r="268" spans="1:20" x14ac:dyDescent="0.3">
      <c r="A268">
        <v>267</v>
      </c>
      <c r="B268" t="s">
        <v>1060</v>
      </c>
      <c r="C268" t="s">
        <v>408</v>
      </c>
      <c r="D268" s="6" t="s">
        <v>409</v>
      </c>
      <c r="E268" s="49">
        <v>45939</v>
      </c>
      <c r="F268" s="132" t="s">
        <v>1018</v>
      </c>
      <c r="G268" s="44">
        <v>70</v>
      </c>
      <c r="H268" s="44">
        <v>0</v>
      </c>
      <c r="I268" s="20">
        <v>0</v>
      </c>
      <c r="J268" s="44">
        <v>0</v>
      </c>
      <c r="K268" s="66" t="s">
        <v>989</v>
      </c>
      <c r="L268" s="7" t="s">
        <v>1009</v>
      </c>
      <c r="M268" s="7" t="s">
        <v>1009</v>
      </c>
      <c r="R268" t="str">
        <f t="shared" si="4"/>
        <v>Abierto</v>
      </c>
      <c r="S268" t="s">
        <v>996</v>
      </c>
    </row>
    <row r="269" spans="1:20" x14ac:dyDescent="0.3">
      <c r="A269">
        <v>268</v>
      </c>
      <c r="B269" s="1" t="s">
        <v>1073</v>
      </c>
      <c r="C269" s="1" t="s">
        <v>410</v>
      </c>
      <c r="D269" s="69" t="s">
        <v>411</v>
      </c>
      <c r="E269" s="70">
        <v>45940</v>
      </c>
      <c r="F269" s="127" t="s">
        <v>1047</v>
      </c>
      <c r="G269" s="71">
        <v>80</v>
      </c>
      <c r="H269" s="71">
        <v>777</v>
      </c>
      <c r="I269" s="81">
        <v>0</v>
      </c>
      <c r="J269" s="71">
        <v>777</v>
      </c>
      <c r="K269" s="66" t="s">
        <v>989</v>
      </c>
      <c r="L269" s="73" t="s">
        <v>1010</v>
      </c>
      <c r="M269" s="73" t="s">
        <v>1010</v>
      </c>
      <c r="N269" s="74">
        <v>45940</v>
      </c>
      <c r="O269" s="74">
        <v>46001</v>
      </c>
      <c r="P269" s="74"/>
      <c r="Q269" s="1">
        <v>1406</v>
      </c>
      <c r="R269" t="str">
        <f t="shared" si="4"/>
        <v>Abierto</v>
      </c>
      <c r="S269" s="1" t="s">
        <v>994</v>
      </c>
      <c r="T269" s="1"/>
    </row>
    <row r="270" spans="1:20" s="12" customFormat="1" x14ac:dyDescent="0.3">
      <c r="A270">
        <v>269</v>
      </c>
      <c r="B270" s="12" t="s">
        <v>1074</v>
      </c>
      <c r="C270" s="12" t="s">
        <v>412</v>
      </c>
      <c r="D270" s="60" t="s">
        <v>413</v>
      </c>
      <c r="E270" s="61">
        <v>45940</v>
      </c>
      <c r="F270" s="128" t="s">
        <v>1018</v>
      </c>
      <c r="G270" s="62">
        <v>250</v>
      </c>
      <c r="H270" s="62">
        <v>16505.48</v>
      </c>
      <c r="I270" s="67">
        <v>0</v>
      </c>
      <c r="J270" s="62">
        <v>16505.48</v>
      </c>
      <c r="K270" s="66" t="s">
        <v>989</v>
      </c>
      <c r="L270" s="64" t="s">
        <v>1010</v>
      </c>
      <c r="M270" s="64" t="s">
        <v>1010</v>
      </c>
      <c r="N270" s="65">
        <v>46030</v>
      </c>
      <c r="O270" s="65">
        <v>46063</v>
      </c>
      <c r="P270" s="65">
        <v>46030</v>
      </c>
      <c r="Q270" s="12">
        <v>1441</v>
      </c>
      <c r="R270" t="str">
        <f t="shared" si="4"/>
        <v>Cerrado</v>
      </c>
      <c r="S270" s="12" t="s">
        <v>995</v>
      </c>
    </row>
    <row r="271" spans="1:20" x14ac:dyDescent="0.3">
      <c r="A271">
        <v>270</v>
      </c>
      <c r="B271" s="11" t="s">
        <v>1057</v>
      </c>
      <c r="C271" s="11" t="s">
        <v>414</v>
      </c>
      <c r="D271" s="9" t="s">
        <v>1011</v>
      </c>
      <c r="E271" s="75">
        <v>45940</v>
      </c>
      <c r="F271" s="130" t="s">
        <v>1051</v>
      </c>
      <c r="G271" s="76">
        <v>0</v>
      </c>
      <c r="H271" s="76">
        <v>0</v>
      </c>
      <c r="I271" s="89">
        <v>0</v>
      </c>
      <c r="J271" s="76">
        <v>0</v>
      </c>
      <c r="K271" s="66" t="s">
        <v>989</v>
      </c>
      <c r="L271" s="78" t="s">
        <v>1009</v>
      </c>
      <c r="M271" s="78" t="s">
        <v>1009</v>
      </c>
      <c r="N271" s="79"/>
      <c r="O271" s="79"/>
      <c r="P271" s="79"/>
      <c r="Q271" s="11"/>
      <c r="R271" t="str">
        <f t="shared" si="4"/>
        <v>Cerrado</v>
      </c>
      <c r="S271" s="11" t="s">
        <v>993</v>
      </c>
      <c r="T271" s="11"/>
    </row>
    <row r="272" spans="1:20" x14ac:dyDescent="0.3">
      <c r="A272">
        <v>271</v>
      </c>
      <c r="B272" s="1" t="s">
        <v>1060</v>
      </c>
      <c r="C272" s="1" t="s">
        <v>420</v>
      </c>
      <c r="D272" s="69" t="s">
        <v>421</v>
      </c>
      <c r="E272" s="70">
        <v>45943</v>
      </c>
      <c r="F272" s="127" t="s">
        <v>1018</v>
      </c>
      <c r="G272" s="71">
        <v>70</v>
      </c>
      <c r="H272" s="71">
        <v>97.25</v>
      </c>
      <c r="I272" s="81">
        <v>0</v>
      </c>
      <c r="J272" s="71">
        <v>97.25</v>
      </c>
      <c r="K272" s="66" t="s">
        <v>989</v>
      </c>
      <c r="L272" s="73" t="s">
        <v>1010</v>
      </c>
      <c r="M272" s="73" t="s">
        <v>1010</v>
      </c>
      <c r="N272" s="74">
        <v>46001</v>
      </c>
      <c r="O272" s="74">
        <v>46032</v>
      </c>
      <c r="P272" s="74"/>
      <c r="Q272" s="1">
        <v>1422</v>
      </c>
      <c r="R272" t="str">
        <f t="shared" si="4"/>
        <v>Abierto</v>
      </c>
      <c r="S272" s="1" t="s">
        <v>994</v>
      </c>
      <c r="T272" s="1"/>
    </row>
    <row r="273" spans="1:20" s="12" customFormat="1" x14ac:dyDescent="0.3">
      <c r="A273">
        <v>272</v>
      </c>
      <c r="B273" s="12" t="s">
        <v>1073</v>
      </c>
      <c r="C273" s="12" t="s">
        <v>415</v>
      </c>
      <c r="D273" s="60" t="s">
        <v>416</v>
      </c>
      <c r="E273" s="61">
        <v>45943</v>
      </c>
      <c r="F273" s="128" t="s">
        <v>1042</v>
      </c>
      <c r="G273" s="62">
        <v>80</v>
      </c>
      <c r="H273" s="62">
        <v>0</v>
      </c>
      <c r="I273" s="67">
        <v>0</v>
      </c>
      <c r="J273" s="62">
        <v>0</v>
      </c>
      <c r="K273" s="66" t="s">
        <v>989</v>
      </c>
      <c r="L273" s="64" t="s">
        <v>1010</v>
      </c>
      <c r="M273" s="64" t="s">
        <v>1009</v>
      </c>
      <c r="N273" s="65">
        <v>45971</v>
      </c>
      <c r="O273" s="65">
        <v>46001</v>
      </c>
      <c r="P273" s="65"/>
      <c r="Q273" s="12">
        <v>1400</v>
      </c>
      <c r="R273" t="str">
        <f t="shared" si="4"/>
        <v>Cerrado</v>
      </c>
      <c r="S273" s="12" t="s">
        <v>995</v>
      </c>
    </row>
    <row r="274" spans="1:20" s="12" customFormat="1" x14ac:dyDescent="0.3">
      <c r="A274">
        <v>273</v>
      </c>
      <c r="B274" s="12" t="s">
        <v>1073</v>
      </c>
      <c r="C274" s="12" t="s">
        <v>418</v>
      </c>
      <c r="D274" s="60" t="s">
        <v>419</v>
      </c>
      <c r="E274" s="61">
        <v>45943</v>
      </c>
      <c r="F274" s="128" t="s">
        <v>1016</v>
      </c>
      <c r="G274" s="62">
        <v>80</v>
      </c>
      <c r="H274" s="62">
        <v>135</v>
      </c>
      <c r="I274" s="67">
        <v>0</v>
      </c>
      <c r="J274" s="62">
        <v>135</v>
      </c>
      <c r="K274" s="66" t="s">
        <v>989</v>
      </c>
      <c r="L274" s="64" t="s">
        <v>1010</v>
      </c>
      <c r="M274" s="64" t="s">
        <v>1010</v>
      </c>
      <c r="N274" s="65">
        <v>45971</v>
      </c>
      <c r="O274" s="65">
        <v>46001</v>
      </c>
      <c r="P274" s="65"/>
      <c r="Q274" s="12">
        <v>1401</v>
      </c>
      <c r="R274" t="str">
        <f t="shared" si="4"/>
        <v>Cerrado</v>
      </c>
      <c r="S274" s="12" t="s">
        <v>995</v>
      </c>
    </row>
    <row r="275" spans="1:20" x14ac:dyDescent="0.3">
      <c r="A275">
        <v>274</v>
      </c>
      <c r="B275" s="11" t="s">
        <v>1073</v>
      </c>
      <c r="C275" s="11" t="s">
        <v>417</v>
      </c>
      <c r="D275" s="83" t="s">
        <v>416</v>
      </c>
      <c r="E275" s="75">
        <v>45943</v>
      </c>
      <c r="F275" s="130" t="s">
        <v>1042</v>
      </c>
      <c r="G275" s="76">
        <v>0</v>
      </c>
      <c r="H275" s="76">
        <v>0</v>
      </c>
      <c r="I275" s="89">
        <v>0</v>
      </c>
      <c r="J275" s="76">
        <v>0</v>
      </c>
      <c r="K275" s="66" t="s">
        <v>989</v>
      </c>
      <c r="L275" s="78" t="s">
        <v>1009</v>
      </c>
      <c r="M275" s="78" t="s">
        <v>1009</v>
      </c>
      <c r="N275" s="79"/>
      <c r="O275" s="79"/>
      <c r="P275" s="79"/>
      <c r="Q275" s="11"/>
      <c r="R275" t="str">
        <f t="shared" si="4"/>
        <v>Cerrado</v>
      </c>
      <c r="S275" s="11" t="s">
        <v>993</v>
      </c>
      <c r="T275" s="11"/>
    </row>
    <row r="276" spans="1:20" s="1" customFormat="1" x14ac:dyDescent="0.3">
      <c r="A276">
        <v>275</v>
      </c>
      <c r="B276" s="1" t="s">
        <v>1073</v>
      </c>
      <c r="C276" s="22" t="s">
        <v>422</v>
      </c>
      <c r="D276" s="69" t="s">
        <v>423</v>
      </c>
      <c r="E276" s="146">
        <v>45945</v>
      </c>
      <c r="F276" s="147" t="s">
        <v>1048</v>
      </c>
      <c r="G276" s="71">
        <v>80</v>
      </c>
      <c r="H276" s="71">
        <v>227</v>
      </c>
      <c r="I276" s="81">
        <v>0</v>
      </c>
      <c r="J276" s="71">
        <v>227</v>
      </c>
      <c r="K276" s="66" t="s">
        <v>989</v>
      </c>
      <c r="L276" s="73" t="s">
        <v>1010</v>
      </c>
      <c r="M276" s="73" t="s">
        <v>1010</v>
      </c>
      <c r="N276" s="74">
        <v>45971</v>
      </c>
      <c r="O276" s="74">
        <v>46001</v>
      </c>
      <c r="P276" s="74"/>
      <c r="Q276" s="1">
        <v>1402</v>
      </c>
      <c r="R276" t="str">
        <f t="shared" si="4"/>
        <v>Abierto</v>
      </c>
      <c r="S276" s="1" t="s">
        <v>994</v>
      </c>
    </row>
    <row r="277" spans="1:20" s="1" customFormat="1" x14ac:dyDescent="0.3">
      <c r="A277">
        <v>276</v>
      </c>
      <c r="B277" s="12" t="s">
        <v>1073</v>
      </c>
      <c r="C277" s="13" t="s">
        <v>424</v>
      </c>
      <c r="D277" s="12" t="s">
        <v>425</v>
      </c>
      <c r="E277" s="148">
        <v>45946</v>
      </c>
      <c r="F277" s="149" t="s">
        <v>1016</v>
      </c>
      <c r="G277" s="62">
        <v>80</v>
      </c>
      <c r="H277" s="62">
        <v>25</v>
      </c>
      <c r="I277" s="67">
        <v>0</v>
      </c>
      <c r="J277" s="62">
        <v>25</v>
      </c>
      <c r="K277" s="66" t="s">
        <v>989</v>
      </c>
      <c r="L277" s="64" t="s">
        <v>1009</v>
      </c>
      <c r="M277" s="64" t="s">
        <v>1010</v>
      </c>
      <c r="N277" s="65">
        <v>45940</v>
      </c>
      <c r="O277" s="65">
        <v>46001</v>
      </c>
      <c r="P277" s="65"/>
      <c r="Q277" s="12">
        <v>1403</v>
      </c>
      <c r="R277" t="str">
        <f t="shared" si="4"/>
        <v>Cerrado</v>
      </c>
      <c r="S277" s="12" t="s">
        <v>995</v>
      </c>
      <c r="T277" s="12"/>
    </row>
    <row r="278" spans="1:20" s="12" customFormat="1" x14ac:dyDescent="0.3">
      <c r="A278">
        <v>277</v>
      </c>
      <c r="B278" s="2" t="s">
        <v>1075</v>
      </c>
      <c r="C278" s="2" t="s">
        <v>426</v>
      </c>
      <c r="D278" s="9" t="s">
        <v>1011</v>
      </c>
      <c r="E278" s="144">
        <v>45947</v>
      </c>
      <c r="F278" s="145" t="s">
        <v>1021</v>
      </c>
      <c r="G278" s="76">
        <v>0</v>
      </c>
      <c r="H278" s="76">
        <v>0</v>
      </c>
      <c r="I278" s="89">
        <v>0</v>
      </c>
      <c r="J278" s="76">
        <v>0</v>
      </c>
      <c r="K278" s="66" t="s">
        <v>989</v>
      </c>
      <c r="L278" s="78" t="s">
        <v>1009</v>
      </c>
      <c r="M278" s="78" t="s">
        <v>1009</v>
      </c>
      <c r="N278" s="79"/>
      <c r="O278" s="79"/>
      <c r="P278" s="79"/>
      <c r="Q278" s="11"/>
      <c r="R278" t="str">
        <f t="shared" si="4"/>
        <v>Cerrado</v>
      </c>
      <c r="S278" s="11" t="s">
        <v>993</v>
      </c>
      <c r="T278" s="11"/>
    </row>
    <row r="279" spans="1:20" x14ac:dyDescent="0.3">
      <c r="A279">
        <v>278</v>
      </c>
      <c r="B279" s="12" t="s">
        <v>1073</v>
      </c>
      <c r="C279" s="13" t="s">
        <v>427</v>
      </c>
      <c r="D279" s="60" t="s">
        <v>428</v>
      </c>
      <c r="E279" s="148">
        <v>45950</v>
      </c>
      <c r="F279" s="149" t="s">
        <v>1018</v>
      </c>
      <c r="G279" s="62">
        <v>70</v>
      </c>
      <c r="H279" s="62">
        <v>97.26</v>
      </c>
      <c r="I279" s="67">
        <v>0</v>
      </c>
      <c r="J279" s="62">
        <v>97.26</v>
      </c>
      <c r="K279" s="66" t="s">
        <v>989</v>
      </c>
      <c r="L279" s="64" t="s">
        <v>1010</v>
      </c>
      <c r="M279" s="64" t="s">
        <v>1010</v>
      </c>
      <c r="N279" s="65">
        <v>46001</v>
      </c>
      <c r="O279" s="65">
        <v>46032</v>
      </c>
      <c r="P279" s="65">
        <v>46009</v>
      </c>
      <c r="Q279" s="12">
        <v>1423</v>
      </c>
      <c r="R279" t="str">
        <f t="shared" si="4"/>
        <v>Cerrado</v>
      </c>
      <c r="S279" s="12" t="s">
        <v>995</v>
      </c>
      <c r="T279" s="12"/>
    </row>
    <row r="280" spans="1:20" s="12" customFormat="1" x14ac:dyDescent="0.3">
      <c r="A280">
        <v>279</v>
      </c>
      <c r="B280" s="2" t="s">
        <v>1057</v>
      </c>
      <c r="C280" s="2" t="s">
        <v>429</v>
      </c>
      <c r="D280" s="9" t="s">
        <v>1011</v>
      </c>
      <c r="E280" s="144">
        <v>45950</v>
      </c>
      <c r="F280" s="145" t="s">
        <v>1044</v>
      </c>
      <c r="G280" s="76">
        <v>0</v>
      </c>
      <c r="H280" s="76">
        <v>0</v>
      </c>
      <c r="I280" s="89">
        <v>0</v>
      </c>
      <c r="J280" s="76">
        <v>0</v>
      </c>
      <c r="K280" s="66" t="s">
        <v>989</v>
      </c>
      <c r="L280" s="78" t="s">
        <v>1009</v>
      </c>
      <c r="M280" s="78" t="s">
        <v>1009</v>
      </c>
      <c r="N280" s="79"/>
      <c r="O280" s="79"/>
      <c r="P280" s="79"/>
      <c r="Q280" s="11"/>
      <c r="R280" t="str">
        <f t="shared" si="4"/>
        <v>Cerrado</v>
      </c>
      <c r="S280" s="11" t="s">
        <v>993</v>
      </c>
      <c r="T280" s="11"/>
    </row>
    <row r="281" spans="1:20" s="1" customFormat="1" x14ac:dyDescent="0.3">
      <c r="A281">
        <v>280</v>
      </c>
      <c r="B281" s="12" t="s">
        <v>1071</v>
      </c>
      <c r="C281" s="13" t="s">
        <v>430</v>
      </c>
      <c r="D281" s="60" t="s">
        <v>431</v>
      </c>
      <c r="E281" s="148">
        <v>45952</v>
      </c>
      <c r="F281" s="149" t="s">
        <v>1016</v>
      </c>
      <c r="G281" s="62">
        <v>80</v>
      </c>
      <c r="H281" s="62">
        <v>25</v>
      </c>
      <c r="I281" s="67">
        <v>0</v>
      </c>
      <c r="J281" s="62">
        <v>25</v>
      </c>
      <c r="K281" s="66" t="s">
        <v>989</v>
      </c>
      <c r="L281" s="64" t="s">
        <v>1009</v>
      </c>
      <c r="M281" s="64" t="s">
        <v>1010</v>
      </c>
      <c r="N281" s="65">
        <v>45940</v>
      </c>
      <c r="O281" s="65">
        <v>46001</v>
      </c>
      <c r="P281" s="65"/>
      <c r="Q281" s="12">
        <v>1405</v>
      </c>
      <c r="R281" t="str">
        <f t="shared" si="4"/>
        <v>Cerrado</v>
      </c>
      <c r="S281" s="12" t="s">
        <v>995</v>
      </c>
      <c r="T281" s="12"/>
    </row>
    <row r="282" spans="1:20" s="12" customFormat="1" x14ac:dyDescent="0.3">
      <c r="A282">
        <v>281</v>
      </c>
      <c r="B282" s="13" t="s">
        <v>1060</v>
      </c>
      <c r="C282" s="13" t="s">
        <v>432</v>
      </c>
      <c r="D282" s="60" t="s">
        <v>433</v>
      </c>
      <c r="E282" s="148">
        <v>45952</v>
      </c>
      <c r="F282" s="149" t="s">
        <v>1018</v>
      </c>
      <c r="G282" s="62">
        <v>70</v>
      </c>
      <c r="H282" s="62">
        <v>0</v>
      </c>
      <c r="I282" s="67">
        <v>0</v>
      </c>
      <c r="J282" s="62">
        <v>0</v>
      </c>
      <c r="K282" s="66" t="s">
        <v>989</v>
      </c>
      <c r="L282" s="64" t="s">
        <v>1009</v>
      </c>
      <c r="M282" s="64" t="s">
        <v>1009</v>
      </c>
      <c r="N282" s="65">
        <v>45940</v>
      </c>
      <c r="O282" s="65">
        <v>46001</v>
      </c>
      <c r="P282" s="65">
        <v>46024</v>
      </c>
      <c r="Q282" s="12">
        <v>1407</v>
      </c>
      <c r="R282" t="str">
        <f t="shared" si="4"/>
        <v>Cerrado</v>
      </c>
      <c r="S282" s="12" t="s">
        <v>995</v>
      </c>
    </row>
    <row r="283" spans="1:20" s="12" customFormat="1" x14ac:dyDescent="0.3">
      <c r="A283">
        <v>282</v>
      </c>
      <c r="B283" s="2" t="s">
        <v>1057</v>
      </c>
      <c r="C283" s="2" t="s">
        <v>434</v>
      </c>
      <c r="D283" s="9" t="s">
        <v>1011</v>
      </c>
      <c r="E283" s="144">
        <v>45954</v>
      </c>
      <c r="F283" s="145" t="s">
        <v>1045</v>
      </c>
      <c r="G283" s="76">
        <v>0</v>
      </c>
      <c r="H283" s="76">
        <v>0</v>
      </c>
      <c r="I283" s="89">
        <v>0</v>
      </c>
      <c r="J283" s="76">
        <v>0</v>
      </c>
      <c r="K283" s="66" t="s">
        <v>989</v>
      </c>
      <c r="L283" s="78" t="s">
        <v>1009</v>
      </c>
      <c r="M283" s="78" t="s">
        <v>1009</v>
      </c>
      <c r="N283" s="79"/>
      <c r="O283" s="79"/>
      <c r="P283" s="79"/>
      <c r="Q283" s="11"/>
      <c r="R283" t="str">
        <f t="shared" si="4"/>
        <v>Cerrado</v>
      </c>
      <c r="S283" s="11" t="s">
        <v>993</v>
      </c>
      <c r="T283" s="11"/>
    </row>
    <row r="284" spans="1:20" x14ac:dyDescent="0.3">
      <c r="A284">
        <v>283</v>
      </c>
      <c r="B284" s="2" t="s">
        <v>1076</v>
      </c>
      <c r="C284" s="2" t="s">
        <v>435</v>
      </c>
      <c r="D284" s="9" t="s">
        <v>1011</v>
      </c>
      <c r="E284" s="144">
        <v>45955</v>
      </c>
      <c r="F284" s="145" t="s">
        <v>1046</v>
      </c>
      <c r="G284" s="76">
        <v>0</v>
      </c>
      <c r="H284" s="76">
        <v>0</v>
      </c>
      <c r="I284" s="89">
        <v>0</v>
      </c>
      <c r="J284" s="76">
        <v>0</v>
      </c>
      <c r="K284" s="66" t="s">
        <v>989</v>
      </c>
      <c r="L284" s="78" t="s">
        <v>1009</v>
      </c>
      <c r="M284" s="78" t="s">
        <v>1009</v>
      </c>
      <c r="N284" s="79"/>
      <c r="O284" s="79"/>
      <c r="P284" s="79"/>
      <c r="Q284" s="11"/>
      <c r="R284" t="str">
        <f t="shared" si="4"/>
        <v>Cerrado</v>
      </c>
      <c r="S284" s="11" t="s">
        <v>993</v>
      </c>
      <c r="T284" s="11"/>
    </row>
    <row r="285" spans="1:20" x14ac:dyDescent="0.3">
      <c r="A285">
        <v>284</v>
      </c>
      <c r="B285" s="12" t="s">
        <v>1073</v>
      </c>
      <c r="C285" s="13" t="s">
        <v>436</v>
      </c>
      <c r="D285" s="60" t="s">
        <v>437</v>
      </c>
      <c r="E285" s="148">
        <v>45956</v>
      </c>
      <c r="F285" s="149" t="s">
        <v>1016</v>
      </c>
      <c r="G285" s="62">
        <v>80</v>
      </c>
      <c r="H285" s="62">
        <v>316</v>
      </c>
      <c r="I285" s="67">
        <v>0</v>
      </c>
      <c r="J285" s="62">
        <v>316</v>
      </c>
      <c r="K285" s="66" t="s">
        <v>989</v>
      </c>
      <c r="L285" s="64" t="s">
        <v>1010</v>
      </c>
      <c r="M285" s="64" t="s">
        <v>1010</v>
      </c>
      <c r="N285" s="65">
        <v>45940</v>
      </c>
      <c r="O285" s="65">
        <v>46001</v>
      </c>
      <c r="P285" s="65"/>
      <c r="Q285" s="12">
        <v>1411</v>
      </c>
      <c r="R285" t="str">
        <f t="shared" si="4"/>
        <v>Cerrado</v>
      </c>
      <c r="S285" s="12" t="s">
        <v>995</v>
      </c>
      <c r="T285" s="12"/>
    </row>
    <row r="286" spans="1:20" s="12" customFormat="1" x14ac:dyDescent="0.3">
      <c r="A286">
        <v>285</v>
      </c>
      <c r="B286" s="22" t="s">
        <v>1057</v>
      </c>
      <c r="C286" s="22" t="s">
        <v>438</v>
      </c>
      <c r="D286" s="104">
        <v>1482478932</v>
      </c>
      <c r="E286" s="146">
        <v>45957</v>
      </c>
      <c r="F286" s="147" t="s">
        <v>1054</v>
      </c>
      <c r="G286" s="71">
        <v>90</v>
      </c>
      <c r="H286" s="71">
        <v>103.5</v>
      </c>
      <c r="I286" s="81">
        <v>0</v>
      </c>
      <c r="J286" s="71">
        <v>103.5</v>
      </c>
      <c r="K286" s="66" t="s">
        <v>989</v>
      </c>
      <c r="L286" s="73" t="s">
        <v>1009</v>
      </c>
      <c r="M286" s="73" t="s">
        <v>1010</v>
      </c>
      <c r="N286" s="74">
        <v>45940</v>
      </c>
      <c r="O286" s="74">
        <v>46001</v>
      </c>
      <c r="P286" s="74"/>
      <c r="Q286" s="1">
        <v>1408</v>
      </c>
      <c r="R286" t="str">
        <f t="shared" si="4"/>
        <v>Abierto</v>
      </c>
      <c r="S286" s="1" t="s">
        <v>994</v>
      </c>
      <c r="T286" s="1"/>
    </row>
    <row r="287" spans="1:20" x14ac:dyDescent="0.3">
      <c r="A287">
        <v>286</v>
      </c>
      <c r="B287" s="22" t="s">
        <v>1057</v>
      </c>
      <c r="C287" s="22" t="s">
        <v>439</v>
      </c>
      <c r="D287" s="69">
        <v>3930547217</v>
      </c>
      <c r="E287" s="146">
        <v>45957</v>
      </c>
      <c r="F287" s="147" t="s">
        <v>1016</v>
      </c>
      <c r="G287" s="71">
        <v>90</v>
      </c>
      <c r="H287" s="71">
        <v>510</v>
      </c>
      <c r="I287" s="81">
        <v>0</v>
      </c>
      <c r="J287" s="71">
        <v>510</v>
      </c>
      <c r="K287" s="66" t="s">
        <v>989</v>
      </c>
      <c r="L287" s="73" t="s">
        <v>1010</v>
      </c>
      <c r="M287" s="73" t="s">
        <v>1010</v>
      </c>
      <c r="N287" s="74">
        <v>45971</v>
      </c>
      <c r="O287" s="74">
        <v>46001</v>
      </c>
      <c r="P287" s="74"/>
      <c r="Q287" s="1">
        <v>1409</v>
      </c>
      <c r="R287" t="str">
        <f t="shared" si="4"/>
        <v>Abierto</v>
      </c>
      <c r="S287" s="1" t="s">
        <v>994</v>
      </c>
      <c r="T287" s="1"/>
    </row>
    <row r="288" spans="1:20" s="12" customFormat="1" x14ac:dyDescent="0.3">
      <c r="A288">
        <v>287</v>
      </c>
      <c r="B288" s="13" t="s">
        <v>1071</v>
      </c>
      <c r="C288" s="13" t="s">
        <v>440</v>
      </c>
      <c r="D288" s="60" t="s">
        <v>440</v>
      </c>
      <c r="E288" s="148">
        <v>45957</v>
      </c>
      <c r="F288" s="149" t="s">
        <v>1016</v>
      </c>
      <c r="G288" s="62">
        <v>500</v>
      </c>
      <c r="H288" s="62">
        <v>74868</v>
      </c>
      <c r="I288" s="67">
        <v>0</v>
      </c>
      <c r="J288" s="62">
        <v>74868</v>
      </c>
      <c r="K288" s="66" t="s">
        <v>989</v>
      </c>
      <c r="L288" s="64" t="s">
        <v>1010</v>
      </c>
      <c r="M288" s="64" t="s">
        <v>1010</v>
      </c>
      <c r="N288" s="65">
        <v>46031</v>
      </c>
      <c r="O288" s="65">
        <v>46041</v>
      </c>
      <c r="P288" s="65">
        <v>46044</v>
      </c>
      <c r="Q288" s="12">
        <v>1448</v>
      </c>
      <c r="R288" t="str">
        <f t="shared" si="4"/>
        <v>Cerrado</v>
      </c>
      <c r="S288" s="12" t="s">
        <v>995</v>
      </c>
    </row>
    <row r="289" spans="1:20" s="1" customFormat="1" x14ac:dyDescent="0.3">
      <c r="A289">
        <v>288</v>
      </c>
      <c r="B289" s="12" t="s">
        <v>1073</v>
      </c>
      <c r="C289" s="12" t="s">
        <v>441</v>
      </c>
      <c r="D289" s="60" t="s">
        <v>442</v>
      </c>
      <c r="E289" s="61">
        <v>45957</v>
      </c>
      <c r="F289" s="128" t="s">
        <v>1016</v>
      </c>
      <c r="G289" s="62">
        <v>80</v>
      </c>
      <c r="H289" s="62">
        <v>215</v>
      </c>
      <c r="I289" s="67">
        <v>0</v>
      </c>
      <c r="J289" s="62">
        <v>215</v>
      </c>
      <c r="K289" s="66" t="s">
        <v>989</v>
      </c>
      <c r="L289" s="64" t="s">
        <v>1010</v>
      </c>
      <c r="M289" s="64" t="s">
        <v>1010</v>
      </c>
      <c r="N289" s="65" t="s">
        <v>443</v>
      </c>
      <c r="O289" s="65">
        <v>46032</v>
      </c>
      <c r="P289" s="65">
        <v>46009</v>
      </c>
      <c r="Q289" s="12">
        <v>1424</v>
      </c>
      <c r="R289" t="str">
        <f t="shared" si="4"/>
        <v>Cerrado</v>
      </c>
      <c r="S289" s="12" t="s">
        <v>995</v>
      </c>
      <c r="T289" s="12"/>
    </row>
    <row r="290" spans="1:20" s="11" customFormat="1" x14ac:dyDescent="0.3">
      <c r="A290">
        <v>289</v>
      </c>
      <c r="B290" s="2" t="s">
        <v>1062</v>
      </c>
      <c r="C290" s="2" t="s">
        <v>444</v>
      </c>
      <c r="D290" s="9" t="s">
        <v>1011</v>
      </c>
      <c r="E290" s="144">
        <v>45958</v>
      </c>
      <c r="F290" s="145" t="s">
        <v>1021</v>
      </c>
      <c r="G290" s="76">
        <v>0</v>
      </c>
      <c r="H290" s="76">
        <v>0</v>
      </c>
      <c r="I290" s="89">
        <v>0</v>
      </c>
      <c r="J290" s="76">
        <v>0</v>
      </c>
      <c r="K290" s="66" t="s">
        <v>989</v>
      </c>
      <c r="L290" s="78" t="s">
        <v>1009</v>
      </c>
      <c r="M290" s="78" t="s">
        <v>1009</v>
      </c>
      <c r="N290" s="79"/>
      <c r="O290" s="79"/>
      <c r="P290" s="79"/>
      <c r="R290" t="str">
        <f t="shared" si="4"/>
        <v>Cerrado</v>
      </c>
      <c r="S290" s="11" t="s">
        <v>993</v>
      </c>
    </row>
    <row r="291" spans="1:20" x14ac:dyDescent="0.3">
      <c r="A291">
        <v>290</v>
      </c>
      <c r="B291" s="2" t="s">
        <v>1057</v>
      </c>
      <c r="C291" s="2" t="s">
        <v>445</v>
      </c>
      <c r="D291" s="9" t="s">
        <v>1011</v>
      </c>
      <c r="E291" s="144">
        <v>45959</v>
      </c>
      <c r="F291" s="145" t="s">
        <v>1017</v>
      </c>
      <c r="G291" s="76">
        <v>0</v>
      </c>
      <c r="H291" s="76">
        <v>0</v>
      </c>
      <c r="I291" s="89">
        <v>0</v>
      </c>
      <c r="J291" s="76">
        <v>0</v>
      </c>
      <c r="K291" s="66" t="s">
        <v>989</v>
      </c>
      <c r="L291" s="78" t="s">
        <v>1009</v>
      </c>
      <c r="M291" s="78" t="s">
        <v>1009</v>
      </c>
      <c r="N291" s="79"/>
      <c r="O291" s="79"/>
      <c r="P291" s="79"/>
      <c r="Q291" s="11"/>
      <c r="R291" t="str">
        <f t="shared" si="4"/>
        <v>Cerrado</v>
      </c>
      <c r="S291" s="11" t="s">
        <v>993</v>
      </c>
      <c r="T291" s="11"/>
    </row>
    <row r="292" spans="1:20" s="11" customFormat="1" x14ac:dyDescent="0.3">
      <c r="A292">
        <v>291</v>
      </c>
      <c r="B292" s="2" t="s">
        <v>1057</v>
      </c>
      <c r="C292" s="2" t="s">
        <v>446</v>
      </c>
      <c r="D292" s="9" t="s">
        <v>1011</v>
      </c>
      <c r="E292" s="144">
        <v>45960</v>
      </c>
      <c r="F292" s="145" t="s">
        <v>1051</v>
      </c>
      <c r="G292" s="76">
        <v>0</v>
      </c>
      <c r="H292" s="76">
        <v>0</v>
      </c>
      <c r="I292" s="89">
        <v>0</v>
      </c>
      <c r="J292" s="76">
        <v>0</v>
      </c>
      <c r="K292" s="66" t="s">
        <v>989</v>
      </c>
      <c r="L292" s="78" t="s">
        <v>1009</v>
      </c>
      <c r="M292" s="78" t="s">
        <v>1009</v>
      </c>
      <c r="N292" s="79"/>
      <c r="O292" s="79"/>
      <c r="P292" s="79"/>
      <c r="R292" t="str">
        <f t="shared" si="4"/>
        <v>Cerrado</v>
      </c>
      <c r="S292" s="11" t="s">
        <v>993</v>
      </c>
    </row>
    <row r="293" spans="1:20" x14ac:dyDescent="0.3">
      <c r="A293">
        <v>292</v>
      </c>
      <c r="B293" t="s">
        <v>1073</v>
      </c>
      <c r="C293" t="s">
        <v>447</v>
      </c>
      <c r="D293" s="6" t="s">
        <v>448</v>
      </c>
      <c r="E293" s="49">
        <v>45962</v>
      </c>
      <c r="F293" s="132" t="s">
        <v>1016</v>
      </c>
      <c r="G293" s="44">
        <v>0</v>
      </c>
      <c r="H293" s="44">
        <v>0</v>
      </c>
      <c r="I293" s="20">
        <v>0</v>
      </c>
      <c r="J293" s="44">
        <v>0</v>
      </c>
      <c r="K293" s="66" t="s">
        <v>989</v>
      </c>
      <c r="L293" s="7" t="s">
        <v>1009</v>
      </c>
      <c r="M293" s="7" t="s">
        <v>1009</v>
      </c>
      <c r="R293" t="str">
        <f t="shared" si="4"/>
        <v>Abierto</v>
      </c>
      <c r="S293" t="s">
        <v>996</v>
      </c>
    </row>
    <row r="294" spans="1:20" s="11" customFormat="1" x14ac:dyDescent="0.3">
      <c r="A294">
        <v>293</v>
      </c>
      <c r="B294" s="105" t="s">
        <v>1060</v>
      </c>
      <c r="C294" s="1" t="s">
        <v>449</v>
      </c>
      <c r="D294" s="69" t="s">
        <v>450</v>
      </c>
      <c r="E294" s="70">
        <v>45963</v>
      </c>
      <c r="F294" s="139" t="s">
        <v>1018</v>
      </c>
      <c r="G294" s="71">
        <v>70</v>
      </c>
      <c r="H294" s="71">
        <v>98.57</v>
      </c>
      <c r="I294" s="81">
        <v>0</v>
      </c>
      <c r="J294" s="71">
        <v>98.57</v>
      </c>
      <c r="K294" s="66" t="s">
        <v>989</v>
      </c>
      <c r="L294" s="73" t="s">
        <v>1010</v>
      </c>
      <c r="M294" s="73" t="s">
        <v>1010</v>
      </c>
      <c r="N294" s="74">
        <v>46031</v>
      </c>
      <c r="O294" s="74">
        <v>46063</v>
      </c>
      <c r="P294" s="74"/>
      <c r="Q294" s="1">
        <v>1446</v>
      </c>
      <c r="R294" t="str">
        <f t="shared" si="4"/>
        <v>Abierto</v>
      </c>
      <c r="S294" s="1" t="s">
        <v>994</v>
      </c>
      <c r="T294" s="1"/>
    </row>
    <row r="295" spans="1:20" x14ac:dyDescent="0.3">
      <c r="A295">
        <v>294</v>
      </c>
      <c r="B295" s="11" t="s">
        <v>1057</v>
      </c>
      <c r="C295" s="11" t="s">
        <v>451</v>
      </c>
      <c r="D295" s="9" t="s">
        <v>1011</v>
      </c>
      <c r="E295" s="75">
        <v>45963</v>
      </c>
      <c r="F295" s="130" t="s">
        <v>1017</v>
      </c>
      <c r="G295" s="76">
        <v>0</v>
      </c>
      <c r="H295" s="76">
        <v>0</v>
      </c>
      <c r="I295" s="89">
        <v>0</v>
      </c>
      <c r="J295" s="76">
        <v>0</v>
      </c>
      <c r="K295" s="66" t="s">
        <v>989</v>
      </c>
      <c r="L295" s="78" t="s">
        <v>1009</v>
      </c>
      <c r="M295" s="78" t="s">
        <v>1009</v>
      </c>
      <c r="N295" s="79"/>
      <c r="O295" s="79"/>
      <c r="P295" s="79"/>
      <c r="Q295" s="11"/>
      <c r="R295" t="str">
        <f t="shared" si="4"/>
        <v>Cerrado</v>
      </c>
      <c r="S295" s="11" t="s">
        <v>993</v>
      </c>
      <c r="T295" s="11"/>
    </row>
    <row r="296" spans="1:20" s="1" customFormat="1" x14ac:dyDescent="0.3">
      <c r="A296">
        <v>295</v>
      </c>
      <c r="B296" s="1" t="s">
        <v>1057</v>
      </c>
      <c r="C296" s="1" t="s">
        <v>452</v>
      </c>
      <c r="D296" s="69">
        <v>2396636256</v>
      </c>
      <c r="E296" s="70">
        <v>45964</v>
      </c>
      <c r="F296" s="127" t="s">
        <v>1016</v>
      </c>
      <c r="G296" s="71">
        <v>90</v>
      </c>
      <c r="H296" s="71">
        <v>240</v>
      </c>
      <c r="I296" s="81">
        <v>0</v>
      </c>
      <c r="J296" s="71">
        <v>240</v>
      </c>
      <c r="K296" s="66" t="s">
        <v>989</v>
      </c>
      <c r="L296" s="73" t="s">
        <v>1010</v>
      </c>
      <c r="M296" s="73" t="s">
        <v>1010</v>
      </c>
      <c r="N296" s="74">
        <v>46001</v>
      </c>
      <c r="O296" s="74">
        <v>46032</v>
      </c>
      <c r="P296" s="74"/>
      <c r="Q296" s="1">
        <v>1425</v>
      </c>
      <c r="R296" t="str">
        <f t="shared" si="4"/>
        <v>Abierto</v>
      </c>
      <c r="S296" s="1" t="s">
        <v>994</v>
      </c>
    </row>
    <row r="297" spans="1:20" s="11" customFormat="1" x14ac:dyDescent="0.3">
      <c r="A297">
        <v>296</v>
      </c>
      <c r="B297" s="11" t="s">
        <v>1060</v>
      </c>
      <c r="C297" s="11" t="s">
        <v>453</v>
      </c>
      <c r="D297" s="9" t="s">
        <v>1011</v>
      </c>
      <c r="E297" s="75">
        <v>45964</v>
      </c>
      <c r="F297" s="130" t="s">
        <v>1026</v>
      </c>
      <c r="G297" s="76">
        <v>0</v>
      </c>
      <c r="H297" s="76">
        <v>0</v>
      </c>
      <c r="I297" s="89">
        <v>0</v>
      </c>
      <c r="J297" s="76">
        <v>0</v>
      </c>
      <c r="K297" s="66" t="s">
        <v>989</v>
      </c>
      <c r="L297" s="78" t="s">
        <v>1009</v>
      </c>
      <c r="M297" s="78" t="s">
        <v>1009</v>
      </c>
      <c r="N297" s="79"/>
      <c r="O297" s="79"/>
      <c r="P297" s="79"/>
      <c r="R297" t="str">
        <f t="shared" si="4"/>
        <v>Cerrado</v>
      </c>
      <c r="S297" s="11" t="s">
        <v>993</v>
      </c>
    </row>
    <row r="298" spans="1:20" s="1" customFormat="1" x14ac:dyDescent="0.3">
      <c r="A298">
        <v>297</v>
      </c>
      <c r="B298" s="1" t="s">
        <v>1071</v>
      </c>
      <c r="C298" s="1" t="s">
        <v>454</v>
      </c>
      <c r="D298" s="117" t="s">
        <v>1011</v>
      </c>
      <c r="E298" s="70">
        <v>45967</v>
      </c>
      <c r="F298" s="127" t="s">
        <v>1016</v>
      </c>
      <c r="G298" s="71">
        <v>250</v>
      </c>
      <c r="H298" s="71">
        <v>27121</v>
      </c>
      <c r="I298" s="81">
        <v>0</v>
      </c>
      <c r="J298" s="71">
        <v>27121</v>
      </c>
      <c r="K298" s="66" t="s">
        <v>989</v>
      </c>
      <c r="L298" s="73" t="s">
        <v>1010</v>
      </c>
      <c r="M298" s="73" t="s">
        <v>1010</v>
      </c>
      <c r="N298" s="74">
        <v>46031</v>
      </c>
      <c r="O298" s="74">
        <v>46063</v>
      </c>
      <c r="P298" s="74"/>
      <c r="Q298" s="1">
        <v>1449</v>
      </c>
      <c r="R298" t="str">
        <f t="shared" si="4"/>
        <v>Abierto</v>
      </c>
      <c r="S298" s="1" t="s">
        <v>994</v>
      </c>
    </row>
    <row r="299" spans="1:20" s="11" customFormat="1" x14ac:dyDescent="0.3">
      <c r="A299">
        <v>298</v>
      </c>
      <c r="B299" s="11" t="s">
        <v>1073</v>
      </c>
      <c r="C299" s="11" t="s">
        <v>455</v>
      </c>
      <c r="D299" s="83" t="s">
        <v>456</v>
      </c>
      <c r="E299" s="75">
        <v>45968</v>
      </c>
      <c r="F299" s="130" t="s">
        <v>1048</v>
      </c>
      <c r="G299" s="76">
        <v>0</v>
      </c>
      <c r="H299" s="76">
        <v>0</v>
      </c>
      <c r="I299" s="89">
        <v>0</v>
      </c>
      <c r="J299" s="76">
        <v>0</v>
      </c>
      <c r="K299" s="66" t="s">
        <v>989</v>
      </c>
      <c r="L299" s="78" t="s">
        <v>1009</v>
      </c>
      <c r="M299" s="78" t="s">
        <v>1009</v>
      </c>
      <c r="N299" s="79"/>
      <c r="O299" s="79"/>
      <c r="P299" s="79"/>
      <c r="R299" t="str">
        <f t="shared" si="4"/>
        <v>Cerrado</v>
      </c>
      <c r="S299" s="11" t="s">
        <v>993</v>
      </c>
    </row>
    <row r="300" spans="1:20" x14ac:dyDescent="0.3">
      <c r="A300">
        <v>299</v>
      </c>
      <c r="B300" s="11" t="s">
        <v>1074</v>
      </c>
      <c r="C300" s="11" t="s">
        <v>457</v>
      </c>
      <c r="D300" s="83" t="s">
        <v>458</v>
      </c>
      <c r="E300" s="75">
        <v>45968</v>
      </c>
      <c r="F300" s="130" t="s">
        <v>1048</v>
      </c>
      <c r="G300" s="76">
        <v>0</v>
      </c>
      <c r="H300" s="76">
        <v>0</v>
      </c>
      <c r="I300" s="89">
        <v>0</v>
      </c>
      <c r="J300" s="76">
        <v>0</v>
      </c>
      <c r="K300" s="66" t="s">
        <v>989</v>
      </c>
      <c r="L300" s="78" t="s">
        <v>1009</v>
      </c>
      <c r="M300" s="78" t="s">
        <v>1009</v>
      </c>
      <c r="N300" s="79"/>
      <c r="O300" s="79"/>
      <c r="P300" s="79"/>
      <c r="Q300" s="11"/>
      <c r="R300" t="str">
        <f t="shared" si="4"/>
        <v>Cerrado</v>
      </c>
      <c r="S300" s="11" t="s">
        <v>993</v>
      </c>
      <c r="T300" s="11"/>
    </row>
    <row r="301" spans="1:20" x14ac:dyDescent="0.3">
      <c r="A301">
        <v>300</v>
      </c>
      <c r="B301" s="11" t="s">
        <v>1069</v>
      </c>
      <c r="C301" s="11" t="s">
        <v>459</v>
      </c>
      <c r="D301" s="9" t="s">
        <v>1011</v>
      </c>
      <c r="E301" s="75">
        <v>45968</v>
      </c>
      <c r="F301" s="130" t="s">
        <v>1016</v>
      </c>
      <c r="G301" s="76">
        <v>0</v>
      </c>
      <c r="H301" s="76">
        <v>0</v>
      </c>
      <c r="I301" s="89">
        <v>0</v>
      </c>
      <c r="J301" s="76">
        <v>0</v>
      </c>
      <c r="K301" s="66" t="s">
        <v>989</v>
      </c>
      <c r="L301" s="78" t="s">
        <v>1009</v>
      </c>
      <c r="M301" s="78" t="s">
        <v>1009</v>
      </c>
      <c r="N301" s="79"/>
      <c r="O301" s="79"/>
      <c r="P301" s="79"/>
      <c r="Q301" s="11"/>
      <c r="R301" t="str">
        <f t="shared" si="4"/>
        <v>Cerrado</v>
      </c>
      <c r="S301" s="11" t="s">
        <v>993</v>
      </c>
      <c r="T301" s="11"/>
    </row>
    <row r="302" spans="1:20" s="1" customFormat="1" x14ac:dyDescent="0.3">
      <c r="A302">
        <v>301</v>
      </c>
      <c r="B302" s="8" t="s">
        <v>1059</v>
      </c>
      <c r="C302" s="11" t="s">
        <v>460</v>
      </c>
      <c r="D302" s="9" t="s">
        <v>1011</v>
      </c>
      <c r="E302" s="75">
        <v>45969</v>
      </c>
      <c r="F302" s="130" t="s">
        <v>1018</v>
      </c>
      <c r="G302" s="76">
        <v>0</v>
      </c>
      <c r="H302" s="76">
        <v>0</v>
      </c>
      <c r="I302" s="89">
        <v>0</v>
      </c>
      <c r="J302" s="76">
        <v>0</v>
      </c>
      <c r="K302" s="66" t="s">
        <v>989</v>
      </c>
      <c r="L302" s="78" t="s">
        <v>1009</v>
      </c>
      <c r="M302" s="78" t="s">
        <v>1009</v>
      </c>
      <c r="N302" s="79"/>
      <c r="O302" s="79"/>
      <c r="P302" s="79"/>
      <c r="Q302" s="11"/>
      <c r="R302" t="str">
        <f t="shared" si="4"/>
        <v>Cerrado</v>
      </c>
      <c r="S302" s="11" t="s">
        <v>993</v>
      </c>
      <c r="T302" s="11"/>
    </row>
    <row r="303" spans="1:20" s="12" customFormat="1" x14ac:dyDescent="0.3">
      <c r="A303">
        <v>302</v>
      </c>
      <c r="B303" s="1" t="s">
        <v>1073</v>
      </c>
      <c r="C303" s="1" t="s">
        <v>461</v>
      </c>
      <c r="D303" s="69" t="s">
        <v>462</v>
      </c>
      <c r="E303" s="70">
        <v>45970</v>
      </c>
      <c r="F303" s="127" t="s">
        <v>1018</v>
      </c>
      <c r="G303" s="71">
        <v>80</v>
      </c>
      <c r="H303" s="71">
        <v>148.69999999999999</v>
      </c>
      <c r="I303" s="81">
        <v>0</v>
      </c>
      <c r="J303" s="71">
        <v>1418.7</v>
      </c>
      <c r="K303" s="66" t="s">
        <v>989</v>
      </c>
      <c r="L303" s="73" t="s">
        <v>1010</v>
      </c>
      <c r="M303" s="73" t="s">
        <v>1010</v>
      </c>
      <c r="N303" s="74" t="s">
        <v>463</v>
      </c>
      <c r="O303" s="74">
        <v>46063</v>
      </c>
      <c r="P303" s="74"/>
      <c r="Q303" s="1">
        <v>1445</v>
      </c>
      <c r="R303" t="str">
        <f t="shared" si="4"/>
        <v>Abierto</v>
      </c>
      <c r="S303" s="1" t="s">
        <v>994</v>
      </c>
      <c r="T303" s="1"/>
    </row>
    <row r="304" spans="1:20" s="12" customFormat="1" x14ac:dyDescent="0.3">
      <c r="A304">
        <v>303</v>
      </c>
      <c r="B304" s="12" t="s">
        <v>1073</v>
      </c>
      <c r="C304" s="12" t="s">
        <v>464</v>
      </c>
      <c r="D304" s="60" t="s">
        <v>465</v>
      </c>
      <c r="E304" s="61">
        <v>45971</v>
      </c>
      <c r="F304" s="128" t="s">
        <v>1047</v>
      </c>
      <c r="G304" s="62">
        <v>80</v>
      </c>
      <c r="H304" s="62">
        <v>559</v>
      </c>
      <c r="I304" s="67">
        <v>0</v>
      </c>
      <c r="J304" s="62">
        <v>559</v>
      </c>
      <c r="K304" s="66" t="s">
        <v>989</v>
      </c>
      <c r="L304" s="64" t="s">
        <v>1010</v>
      </c>
      <c r="M304" s="64" t="s">
        <v>1010</v>
      </c>
      <c r="N304" s="65">
        <v>46001</v>
      </c>
      <c r="O304" s="65">
        <v>46032</v>
      </c>
      <c r="P304" s="65">
        <v>46009</v>
      </c>
      <c r="Q304" s="12">
        <v>1426</v>
      </c>
      <c r="R304" t="str">
        <f t="shared" si="4"/>
        <v>Cerrado</v>
      </c>
      <c r="S304" s="12" t="s">
        <v>995</v>
      </c>
    </row>
    <row r="305" spans="1:20" s="12" customFormat="1" x14ac:dyDescent="0.3">
      <c r="A305">
        <v>304</v>
      </c>
      <c r="B305" s="12" t="s">
        <v>1073</v>
      </c>
      <c r="C305" s="12" t="s">
        <v>466</v>
      </c>
      <c r="D305" s="60" t="s">
        <v>467</v>
      </c>
      <c r="E305" s="61">
        <v>45971</v>
      </c>
      <c r="F305" s="128" t="s">
        <v>1047</v>
      </c>
      <c r="G305" s="62">
        <v>80</v>
      </c>
      <c r="H305" s="62">
        <v>512</v>
      </c>
      <c r="I305" s="67">
        <v>0</v>
      </c>
      <c r="J305" s="62">
        <v>512</v>
      </c>
      <c r="K305" s="66" t="s">
        <v>989</v>
      </c>
      <c r="L305" s="64" t="s">
        <v>1010</v>
      </c>
      <c r="M305" s="64" t="s">
        <v>1010</v>
      </c>
      <c r="N305" s="65">
        <v>46001</v>
      </c>
      <c r="O305" s="65">
        <v>46032</v>
      </c>
      <c r="P305" s="65">
        <v>46009</v>
      </c>
      <c r="Q305" s="12">
        <v>1427</v>
      </c>
      <c r="R305" t="str">
        <f t="shared" si="4"/>
        <v>Cerrado</v>
      </c>
      <c r="S305" s="12" t="s">
        <v>995</v>
      </c>
    </row>
    <row r="306" spans="1:20" s="11" customFormat="1" x14ac:dyDescent="0.3">
      <c r="A306">
        <v>305</v>
      </c>
      <c r="B306" s="28" t="s">
        <v>1073</v>
      </c>
      <c r="C306" s="28" t="s">
        <v>468</v>
      </c>
      <c r="D306" s="90" t="s">
        <v>469</v>
      </c>
      <c r="E306" s="91">
        <v>45973</v>
      </c>
      <c r="F306" s="133" t="s">
        <v>1018</v>
      </c>
      <c r="G306" s="92">
        <v>70</v>
      </c>
      <c r="H306" s="92">
        <v>256.3</v>
      </c>
      <c r="I306" s="100">
        <v>0</v>
      </c>
      <c r="J306" s="92">
        <v>256.3</v>
      </c>
      <c r="K306" s="66" t="s">
        <v>989</v>
      </c>
      <c r="L306" s="93" t="s">
        <v>1010</v>
      </c>
      <c r="M306" s="93" t="s">
        <v>1010</v>
      </c>
      <c r="N306" s="94"/>
      <c r="O306" s="94"/>
      <c r="P306" s="94"/>
      <c r="Q306" s="28"/>
      <c r="R306" t="str">
        <f t="shared" si="4"/>
        <v>Abierto</v>
      </c>
      <c r="S306" s="28" t="s">
        <v>997</v>
      </c>
      <c r="T306" s="28"/>
    </row>
    <row r="307" spans="1:20" x14ac:dyDescent="0.3">
      <c r="A307">
        <v>306</v>
      </c>
      <c r="B307" t="s">
        <v>1057</v>
      </c>
      <c r="C307" t="s">
        <v>470</v>
      </c>
      <c r="D307" s="6">
        <v>3626117341</v>
      </c>
      <c r="E307" s="49">
        <v>45976</v>
      </c>
      <c r="F307" s="132" t="s">
        <v>1051</v>
      </c>
      <c r="G307" s="44">
        <v>0</v>
      </c>
      <c r="H307" s="44">
        <v>0</v>
      </c>
      <c r="I307" s="20">
        <v>0</v>
      </c>
      <c r="J307" s="44">
        <v>0</v>
      </c>
      <c r="K307" s="66" t="s">
        <v>989</v>
      </c>
      <c r="L307" s="7" t="s">
        <v>1009</v>
      </c>
      <c r="M307" s="7" t="s">
        <v>1009</v>
      </c>
      <c r="R307" t="str">
        <f t="shared" si="4"/>
        <v>Abierto</v>
      </c>
      <c r="S307" t="s">
        <v>996</v>
      </c>
    </row>
    <row r="308" spans="1:20" s="11" customFormat="1" x14ac:dyDescent="0.3">
      <c r="A308">
        <v>307</v>
      </c>
      <c r="B308" s="12" t="s">
        <v>1071</v>
      </c>
      <c r="C308" s="12" t="s">
        <v>473</v>
      </c>
      <c r="D308" s="60" t="s">
        <v>474</v>
      </c>
      <c r="E308" s="61">
        <v>45979</v>
      </c>
      <c r="F308" s="128" t="s">
        <v>1016</v>
      </c>
      <c r="G308" s="62">
        <v>0</v>
      </c>
      <c r="H308" s="62">
        <v>0</v>
      </c>
      <c r="I308" s="67">
        <v>0</v>
      </c>
      <c r="J308" s="62">
        <v>0</v>
      </c>
      <c r="K308" s="66" t="s">
        <v>989</v>
      </c>
      <c r="L308" s="64" t="s">
        <v>1009</v>
      </c>
      <c r="M308" s="64" t="s">
        <v>1009</v>
      </c>
      <c r="N308" s="65"/>
      <c r="O308" s="65"/>
      <c r="P308" s="65"/>
      <c r="Q308" s="12"/>
      <c r="R308" t="str">
        <f t="shared" si="4"/>
        <v>Cerrado</v>
      </c>
      <c r="S308" s="12" t="s">
        <v>995</v>
      </c>
      <c r="T308" s="12"/>
    </row>
    <row r="309" spans="1:20" s="1" customFormat="1" x14ac:dyDescent="0.3">
      <c r="A309">
        <v>308</v>
      </c>
      <c r="B309" s="11" t="s">
        <v>1073</v>
      </c>
      <c r="C309" s="11" t="s">
        <v>471</v>
      </c>
      <c r="D309" s="83" t="s">
        <v>472</v>
      </c>
      <c r="E309" s="75">
        <v>45979</v>
      </c>
      <c r="F309" s="130" t="s">
        <v>1048</v>
      </c>
      <c r="G309" s="76">
        <v>0</v>
      </c>
      <c r="H309" s="76">
        <v>0</v>
      </c>
      <c r="I309" s="89">
        <v>0</v>
      </c>
      <c r="J309" s="76">
        <v>0</v>
      </c>
      <c r="K309" s="66" t="s">
        <v>989</v>
      </c>
      <c r="L309" s="78" t="s">
        <v>1009</v>
      </c>
      <c r="M309" s="78" t="s">
        <v>1009</v>
      </c>
      <c r="N309" s="79"/>
      <c r="O309" s="79"/>
      <c r="P309" s="79"/>
      <c r="Q309" s="11"/>
      <c r="R309" t="str">
        <f t="shared" si="4"/>
        <v>Cerrado</v>
      </c>
      <c r="S309" s="11" t="s">
        <v>993</v>
      </c>
      <c r="T309" s="11"/>
    </row>
    <row r="310" spans="1:20" s="1" customFormat="1" x14ac:dyDescent="0.3">
      <c r="A310">
        <v>309</v>
      </c>
      <c r="B310" s="12" t="s">
        <v>1073</v>
      </c>
      <c r="C310" s="12" t="s">
        <v>477</v>
      </c>
      <c r="D310" s="60" t="s">
        <v>478</v>
      </c>
      <c r="E310" s="61">
        <v>45981</v>
      </c>
      <c r="F310" s="128" t="s">
        <v>1016</v>
      </c>
      <c r="G310" s="62">
        <v>80</v>
      </c>
      <c r="H310" s="62">
        <v>0</v>
      </c>
      <c r="I310" s="67">
        <v>0</v>
      </c>
      <c r="J310" s="62">
        <v>0</v>
      </c>
      <c r="K310" s="66" t="s">
        <v>989</v>
      </c>
      <c r="L310" s="64" t="s">
        <v>1009</v>
      </c>
      <c r="M310" s="64" t="s">
        <v>1009</v>
      </c>
      <c r="N310" s="65">
        <v>46001</v>
      </c>
      <c r="O310" s="65">
        <v>46032</v>
      </c>
      <c r="P310" s="65">
        <v>46009</v>
      </c>
      <c r="Q310" s="12">
        <v>1428</v>
      </c>
      <c r="R310" t="str">
        <f t="shared" si="4"/>
        <v>Cerrado</v>
      </c>
      <c r="S310" s="12" t="s">
        <v>995</v>
      </c>
      <c r="T310" s="12"/>
    </row>
    <row r="311" spans="1:20" s="12" customFormat="1" x14ac:dyDescent="0.3">
      <c r="A311">
        <v>310</v>
      </c>
      <c r="B311" s="28" t="s">
        <v>1073</v>
      </c>
      <c r="C311" s="28" t="s">
        <v>475</v>
      </c>
      <c r="D311" s="90" t="s">
        <v>476</v>
      </c>
      <c r="E311" s="91">
        <v>45981</v>
      </c>
      <c r="F311" s="133" t="s">
        <v>1018</v>
      </c>
      <c r="G311" s="92">
        <v>70</v>
      </c>
      <c r="H311" s="92">
        <v>0</v>
      </c>
      <c r="I311" s="100">
        <v>0</v>
      </c>
      <c r="J311" s="92">
        <v>0</v>
      </c>
      <c r="K311" s="66" t="s">
        <v>989</v>
      </c>
      <c r="L311" s="93" t="s">
        <v>1009</v>
      </c>
      <c r="M311" s="93" t="s">
        <v>1009</v>
      </c>
      <c r="N311" s="94"/>
      <c r="O311" s="94"/>
      <c r="P311" s="94"/>
      <c r="Q311" s="28"/>
      <c r="R311" t="str">
        <f t="shared" si="4"/>
        <v>Abierto</v>
      </c>
      <c r="S311" s="28" t="s">
        <v>997</v>
      </c>
      <c r="T311" s="28"/>
    </row>
    <row r="312" spans="1:20" s="12" customFormat="1" x14ac:dyDescent="0.3">
      <c r="A312">
        <v>311</v>
      </c>
      <c r="B312" s="11" t="s">
        <v>1071</v>
      </c>
      <c r="C312" s="11" t="s">
        <v>479</v>
      </c>
      <c r="D312" s="9" t="s">
        <v>1011</v>
      </c>
      <c r="E312" s="75">
        <v>45981</v>
      </c>
      <c r="F312" s="130" t="s">
        <v>1049</v>
      </c>
      <c r="G312" s="76">
        <v>0</v>
      </c>
      <c r="H312" s="76">
        <v>0</v>
      </c>
      <c r="I312" s="89">
        <v>0</v>
      </c>
      <c r="J312" s="76">
        <v>0</v>
      </c>
      <c r="K312" s="66" t="s">
        <v>989</v>
      </c>
      <c r="L312" s="78" t="s">
        <v>1009</v>
      </c>
      <c r="M312" s="78" t="s">
        <v>1009</v>
      </c>
      <c r="N312" s="79"/>
      <c r="O312" s="79"/>
      <c r="P312" s="79"/>
      <c r="Q312" s="11"/>
      <c r="R312" t="str">
        <f t="shared" si="4"/>
        <v>Cerrado</v>
      </c>
      <c r="S312" s="11" t="s">
        <v>993</v>
      </c>
      <c r="T312" s="11"/>
    </row>
    <row r="313" spans="1:20" x14ac:dyDescent="0.3">
      <c r="A313">
        <v>312</v>
      </c>
      <c r="B313" s="12" t="s">
        <v>1073</v>
      </c>
      <c r="C313" s="12" t="s">
        <v>480</v>
      </c>
      <c r="D313" s="60" t="s">
        <v>481</v>
      </c>
      <c r="E313" s="61">
        <v>45982</v>
      </c>
      <c r="F313" s="128" t="s">
        <v>1018</v>
      </c>
      <c r="G313" s="62">
        <v>70</v>
      </c>
      <c r="H313" s="62">
        <v>0</v>
      </c>
      <c r="I313" s="67">
        <v>0</v>
      </c>
      <c r="J313" s="62">
        <v>0</v>
      </c>
      <c r="K313" s="66" t="s">
        <v>989</v>
      </c>
      <c r="L313" s="64" t="s">
        <v>1009</v>
      </c>
      <c r="M313" s="64" t="s">
        <v>1009</v>
      </c>
      <c r="N313" s="65">
        <v>46001</v>
      </c>
      <c r="O313" s="65">
        <v>46032</v>
      </c>
      <c r="P313" s="65">
        <v>46009</v>
      </c>
      <c r="Q313" s="12">
        <v>1429</v>
      </c>
      <c r="R313" t="str">
        <f t="shared" si="4"/>
        <v>Cerrado</v>
      </c>
      <c r="S313" s="12" t="s">
        <v>995</v>
      </c>
      <c r="T313" s="12"/>
    </row>
    <row r="314" spans="1:20" s="1" customFormat="1" x14ac:dyDescent="0.3">
      <c r="A314">
        <v>313</v>
      </c>
      <c r="B314" s="28" t="s">
        <v>1057</v>
      </c>
      <c r="C314" s="28" t="s">
        <v>482</v>
      </c>
      <c r="D314" s="90">
        <v>3402183926</v>
      </c>
      <c r="E314" s="91">
        <v>45983</v>
      </c>
      <c r="F314" s="133" t="s">
        <v>1018</v>
      </c>
      <c r="G314" s="92">
        <v>70</v>
      </c>
      <c r="H314" s="92">
        <v>98.58</v>
      </c>
      <c r="I314" s="100">
        <v>0</v>
      </c>
      <c r="J314" s="92">
        <v>98.58</v>
      </c>
      <c r="K314" s="66" t="s">
        <v>989</v>
      </c>
      <c r="L314" s="93" t="s">
        <v>1010</v>
      </c>
      <c r="M314" s="93" t="s">
        <v>1010</v>
      </c>
      <c r="N314" s="94"/>
      <c r="O314" s="94"/>
      <c r="P314" s="94"/>
      <c r="Q314" s="28"/>
      <c r="R314" t="str">
        <f t="shared" si="4"/>
        <v>Abierto</v>
      </c>
      <c r="S314" s="28" t="s">
        <v>997</v>
      </c>
      <c r="T314" s="28"/>
    </row>
    <row r="315" spans="1:20" s="1" customFormat="1" x14ac:dyDescent="0.3">
      <c r="A315">
        <v>314</v>
      </c>
      <c r="B315" s="11" t="s">
        <v>1073</v>
      </c>
      <c r="C315" s="11" t="s">
        <v>483</v>
      </c>
      <c r="D315" s="83" t="s">
        <v>484</v>
      </c>
      <c r="E315" s="75">
        <v>45983</v>
      </c>
      <c r="F315" s="130" t="s">
        <v>1016</v>
      </c>
      <c r="G315" s="76">
        <v>0</v>
      </c>
      <c r="H315" s="76">
        <v>0</v>
      </c>
      <c r="I315" s="89">
        <v>0</v>
      </c>
      <c r="J315" s="76">
        <v>0</v>
      </c>
      <c r="K315" s="66" t="s">
        <v>989</v>
      </c>
      <c r="L315" s="78" t="s">
        <v>1009</v>
      </c>
      <c r="M315" s="78" t="s">
        <v>1009</v>
      </c>
      <c r="N315" s="79"/>
      <c r="O315" s="79"/>
      <c r="P315" s="79"/>
      <c r="Q315" s="11"/>
      <c r="R315" t="str">
        <f t="shared" si="4"/>
        <v>Cerrado</v>
      </c>
      <c r="S315" s="11" t="s">
        <v>993</v>
      </c>
      <c r="T315" s="11"/>
    </row>
    <row r="316" spans="1:20" s="11" customFormat="1" x14ac:dyDescent="0.3">
      <c r="A316">
        <v>315</v>
      </c>
      <c r="B316" s="1" t="s">
        <v>1073</v>
      </c>
      <c r="C316" s="1" t="s">
        <v>487</v>
      </c>
      <c r="D316" s="69" t="s">
        <v>488</v>
      </c>
      <c r="E316" s="70">
        <v>45984</v>
      </c>
      <c r="F316" s="127" t="s">
        <v>1018</v>
      </c>
      <c r="G316" s="71">
        <v>70</v>
      </c>
      <c r="H316" s="71" t="s">
        <v>489</v>
      </c>
      <c r="I316" s="81">
        <v>0</v>
      </c>
      <c r="J316" s="71">
        <v>126</v>
      </c>
      <c r="K316" s="66" t="s">
        <v>989</v>
      </c>
      <c r="L316" s="73" t="s">
        <v>1009</v>
      </c>
      <c r="M316" s="73" t="s">
        <v>1009</v>
      </c>
      <c r="N316" s="74">
        <v>46001</v>
      </c>
      <c r="O316" s="74">
        <v>46032</v>
      </c>
      <c r="P316" s="74"/>
      <c r="Q316" s="1">
        <v>1430</v>
      </c>
      <c r="R316" t="str">
        <f t="shared" si="4"/>
        <v>Abierto</v>
      </c>
      <c r="S316" s="1" t="s">
        <v>994</v>
      </c>
      <c r="T316" s="1"/>
    </row>
    <row r="317" spans="1:20" x14ac:dyDescent="0.3">
      <c r="A317">
        <v>316</v>
      </c>
      <c r="B317" s="14" t="s">
        <v>1059</v>
      </c>
      <c r="C317" s="12" t="s">
        <v>490</v>
      </c>
      <c r="D317" s="60" t="s">
        <v>491</v>
      </c>
      <c r="E317" s="61">
        <v>45984</v>
      </c>
      <c r="F317" s="128" t="s">
        <v>1055</v>
      </c>
      <c r="G317" s="62">
        <v>80</v>
      </c>
      <c r="H317" s="62">
        <v>145</v>
      </c>
      <c r="I317" s="67">
        <v>0</v>
      </c>
      <c r="J317" s="62">
        <v>145</v>
      </c>
      <c r="K317" s="66" t="s">
        <v>989</v>
      </c>
      <c r="L317" s="64" t="s">
        <v>1010</v>
      </c>
      <c r="M317" s="64" t="s">
        <v>1010</v>
      </c>
      <c r="N317" s="65">
        <v>46001</v>
      </c>
      <c r="O317" s="65">
        <v>46032</v>
      </c>
      <c r="P317" s="65">
        <v>46049</v>
      </c>
      <c r="Q317" s="12">
        <v>1431</v>
      </c>
      <c r="R317" t="str">
        <f t="shared" si="4"/>
        <v>Cerrado</v>
      </c>
      <c r="S317" s="12" t="s">
        <v>995</v>
      </c>
      <c r="T317" s="12"/>
    </row>
    <row r="318" spans="1:20" x14ac:dyDescent="0.3">
      <c r="A318">
        <v>317</v>
      </c>
      <c r="B318" s="28" t="s">
        <v>1073</v>
      </c>
      <c r="C318" s="28" t="s">
        <v>485</v>
      </c>
      <c r="D318" s="90" t="s">
        <v>486</v>
      </c>
      <c r="E318" s="91">
        <v>45984</v>
      </c>
      <c r="F318" s="133" t="s">
        <v>1042</v>
      </c>
      <c r="G318" s="92">
        <v>80</v>
      </c>
      <c r="H318" s="92">
        <v>163</v>
      </c>
      <c r="I318" s="100">
        <v>0</v>
      </c>
      <c r="J318" s="92">
        <v>163</v>
      </c>
      <c r="K318" s="66" t="s">
        <v>989</v>
      </c>
      <c r="L318" s="93" t="s">
        <v>1010</v>
      </c>
      <c r="M318" s="93" t="s">
        <v>1010</v>
      </c>
      <c r="N318" s="94"/>
      <c r="O318" s="94"/>
      <c r="P318" s="94"/>
      <c r="Q318" s="28"/>
      <c r="R318" t="str">
        <f t="shared" si="4"/>
        <v>Abierto</v>
      </c>
      <c r="S318" s="28" t="s">
        <v>997</v>
      </c>
      <c r="T318" s="28"/>
    </row>
    <row r="319" spans="1:20" x14ac:dyDescent="0.3">
      <c r="A319">
        <v>318</v>
      </c>
      <c r="B319" s="11" t="s">
        <v>1057</v>
      </c>
      <c r="C319" s="11" t="s">
        <v>492</v>
      </c>
      <c r="D319" s="9" t="s">
        <v>1011</v>
      </c>
      <c r="E319" s="75">
        <v>45985</v>
      </c>
      <c r="F319" s="130" t="s">
        <v>1017</v>
      </c>
      <c r="G319" s="76">
        <v>0</v>
      </c>
      <c r="H319" s="76">
        <v>0</v>
      </c>
      <c r="I319" s="89">
        <v>0</v>
      </c>
      <c r="J319" s="76">
        <v>0</v>
      </c>
      <c r="K319" s="66" t="s">
        <v>989</v>
      </c>
      <c r="L319" s="78" t="s">
        <v>1009</v>
      </c>
      <c r="M319" s="78" t="s">
        <v>1009</v>
      </c>
      <c r="N319" s="79"/>
      <c r="O319" s="79"/>
      <c r="P319" s="79"/>
      <c r="Q319" s="11"/>
      <c r="R319" t="str">
        <f t="shared" si="4"/>
        <v>Cerrado</v>
      </c>
      <c r="S319" s="11" t="s">
        <v>993</v>
      </c>
      <c r="T319" s="11"/>
    </row>
    <row r="320" spans="1:20" x14ac:dyDescent="0.3">
      <c r="A320">
        <v>319</v>
      </c>
      <c r="B320" s="1" t="s">
        <v>1057</v>
      </c>
      <c r="C320" s="1" t="s">
        <v>493</v>
      </c>
      <c r="D320" s="69">
        <v>1690078499</v>
      </c>
      <c r="E320" s="70">
        <v>45985.54582175926</v>
      </c>
      <c r="F320" s="127" t="s">
        <v>1018</v>
      </c>
      <c r="G320" s="71">
        <v>90</v>
      </c>
      <c r="H320" s="71">
        <v>0</v>
      </c>
      <c r="I320" s="81">
        <v>0</v>
      </c>
      <c r="J320" s="71">
        <v>0</v>
      </c>
      <c r="K320" s="66" t="s">
        <v>989</v>
      </c>
      <c r="L320" s="73" t="s">
        <v>1009</v>
      </c>
      <c r="M320" s="73" t="s">
        <v>1009</v>
      </c>
      <c r="N320" s="74">
        <v>46039</v>
      </c>
      <c r="O320" s="74">
        <v>46297</v>
      </c>
      <c r="P320" s="74"/>
      <c r="Q320" s="1">
        <v>1482</v>
      </c>
      <c r="R320" t="str">
        <f t="shared" si="4"/>
        <v>Abierto</v>
      </c>
      <c r="S320" s="1" t="s">
        <v>994</v>
      </c>
      <c r="T320" s="1"/>
    </row>
    <row r="321" spans="1:20" x14ac:dyDescent="0.3">
      <c r="A321">
        <v>320</v>
      </c>
      <c r="B321" s="1" t="s">
        <v>1057</v>
      </c>
      <c r="C321" s="1" t="s">
        <v>494</v>
      </c>
      <c r="D321" s="69">
        <v>2593250873</v>
      </c>
      <c r="E321" s="70">
        <v>45985.546875</v>
      </c>
      <c r="F321" s="127" t="s">
        <v>1018</v>
      </c>
      <c r="G321" s="71">
        <v>90</v>
      </c>
      <c r="H321" s="71">
        <v>0</v>
      </c>
      <c r="I321" s="81">
        <v>0</v>
      </c>
      <c r="J321" s="71">
        <v>0</v>
      </c>
      <c r="K321" s="66" t="s">
        <v>989</v>
      </c>
      <c r="L321" s="73" t="s">
        <v>1009</v>
      </c>
      <c r="M321" s="73" t="s">
        <v>1009</v>
      </c>
      <c r="N321" s="74">
        <v>46039</v>
      </c>
      <c r="O321" s="74">
        <v>46297</v>
      </c>
      <c r="P321" s="74"/>
      <c r="Q321" s="1">
        <v>1483</v>
      </c>
      <c r="R321" t="str">
        <f t="shared" si="4"/>
        <v>Abierto</v>
      </c>
      <c r="S321" s="1" t="s">
        <v>994</v>
      </c>
      <c r="T321" s="1"/>
    </row>
    <row r="322" spans="1:20" x14ac:dyDescent="0.3">
      <c r="A322">
        <v>321</v>
      </c>
      <c r="B322" s="1" t="s">
        <v>1057</v>
      </c>
      <c r="C322" s="1" t="s">
        <v>495</v>
      </c>
      <c r="D322" s="69">
        <v>2019673906</v>
      </c>
      <c r="E322" s="70">
        <v>45985.546967592592</v>
      </c>
      <c r="F322" s="127" t="s">
        <v>1018</v>
      </c>
      <c r="G322" s="71">
        <v>90</v>
      </c>
      <c r="H322" s="71">
        <v>0</v>
      </c>
      <c r="I322" s="81">
        <v>0</v>
      </c>
      <c r="J322" s="71">
        <v>0</v>
      </c>
      <c r="K322" s="66" t="s">
        <v>989</v>
      </c>
      <c r="L322" s="73" t="s">
        <v>1009</v>
      </c>
      <c r="M322" s="73" t="s">
        <v>1009</v>
      </c>
      <c r="N322" s="74">
        <v>46039</v>
      </c>
      <c r="O322" s="74">
        <v>46297</v>
      </c>
      <c r="P322" s="74"/>
      <c r="Q322" s="1">
        <v>1484</v>
      </c>
      <c r="R322" t="str">
        <f t="shared" ref="R322:R385" si="5">IF(OR(S322="On Going", S322="Refacturado", S322="Para Refacturar"), "Abierto", IF(OR(S322="Cobrado", S322="No Fee"), "Cerrado", ""))</f>
        <v>Abierto</v>
      </c>
      <c r="S322" s="1" t="s">
        <v>994</v>
      </c>
      <c r="T322" s="1"/>
    </row>
    <row r="323" spans="1:20" x14ac:dyDescent="0.3">
      <c r="A323">
        <v>322</v>
      </c>
      <c r="B323" s="1" t="s">
        <v>1057</v>
      </c>
      <c r="C323" s="1" t="s">
        <v>496</v>
      </c>
      <c r="D323" s="69">
        <v>125251233</v>
      </c>
      <c r="E323" s="70">
        <v>45985.547037037039</v>
      </c>
      <c r="F323" s="127" t="s">
        <v>1018</v>
      </c>
      <c r="G323" s="71">
        <v>90</v>
      </c>
      <c r="H323" s="71">
        <v>0</v>
      </c>
      <c r="I323" s="81">
        <v>0</v>
      </c>
      <c r="J323" s="71">
        <v>0</v>
      </c>
      <c r="K323" s="66" t="s">
        <v>989</v>
      </c>
      <c r="L323" s="73" t="s">
        <v>1009</v>
      </c>
      <c r="M323" s="73" t="s">
        <v>1009</v>
      </c>
      <c r="N323" s="74">
        <v>46039</v>
      </c>
      <c r="O323" s="74">
        <v>46297</v>
      </c>
      <c r="P323" s="74"/>
      <c r="Q323" s="1">
        <v>1485</v>
      </c>
      <c r="R323" t="str">
        <f t="shared" si="5"/>
        <v>Abierto</v>
      </c>
      <c r="S323" s="1" t="s">
        <v>994</v>
      </c>
      <c r="T323" s="1"/>
    </row>
    <row r="324" spans="1:20" x14ac:dyDescent="0.3">
      <c r="A324">
        <v>323</v>
      </c>
      <c r="B324" s="1" t="s">
        <v>1057</v>
      </c>
      <c r="C324" s="1" t="s">
        <v>497</v>
      </c>
      <c r="D324" s="69">
        <v>1657158768</v>
      </c>
      <c r="E324" s="70">
        <v>45985.547129629631</v>
      </c>
      <c r="F324" s="127" t="s">
        <v>1018</v>
      </c>
      <c r="G324" s="71">
        <v>90</v>
      </c>
      <c r="H324" s="71">
        <v>0</v>
      </c>
      <c r="I324" s="81">
        <v>0</v>
      </c>
      <c r="J324" s="71">
        <v>0</v>
      </c>
      <c r="K324" s="66" t="s">
        <v>989</v>
      </c>
      <c r="L324" s="73" t="s">
        <v>1009</v>
      </c>
      <c r="M324" s="73" t="s">
        <v>1009</v>
      </c>
      <c r="N324" s="74">
        <v>46039</v>
      </c>
      <c r="O324" s="74">
        <v>46297</v>
      </c>
      <c r="P324" s="74"/>
      <c r="Q324" s="1">
        <v>1486</v>
      </c>
      <c r="R324" t="str">
        <f t="shared" si="5"/>
        <v>Abierto</v>
      </c>
      <c r="S324" s="1" t="s">
        <v>994</v>
      </c>
      <c r="T324" s="1"/>
    </row>
    <row r="325" spans="1:20" x14ac:dyDescent="0.3">
      <c r="A325">
        <v>324</v>
      </c>
      <c r="B325" s="1" t="s">
        <v>1057</v>
      </c>
      <c r="C325" s="1" t="s">
        <v>498</v>
      </c>
      <c r="D325" s="69">
        <v>3819334567</v>
      </c>
      <c r="E325" s="70">
        <v>45985.547222222223</v>
      </c>
      <c r="F325" s="127" t="s">
        <v>1018</v>
      </c>
      <c r="G325" s="71">
        <v>90</v>
      </c>
      <c r="H325" s="71">
        <v>0</v>
      </c>
      <c r="I325" s="81">
        <v>0</v>
      </c>
      <c r="J325" s="71">
        <v>0</v>
      </c>
      <c r="K325" s="66" t="s">
        <v>989</v>
      </c>
      <c r="L325" s="73" t="s">
        <v>1009</v>
      </c>
      <c r="M325" s="73" t="s">
        <v>1009</v>
      </c>
      <c r="N325" s="74">
        <v>46039</v>
      </c>
      <c r="O325" s="74">
        <v>46297</v>
      </c>
      <c r="P325" s="74"/>
      <c r="Q325" s="1">
        <v>1487</v>
      </c>
      <c r="R325" t="str">
        <f t="shared" si="5"/>
        <v>Abierto</v>
      </c>
      <c r="S325" s="1" t="s">
        <v>994</v>
      </c>
      <c r="T325" s="1"/>
    </row>
    <row r="326" spans="1:20" x14ac:dyDescent="0.3">
      <c r="A326">
        <v>325</v>
      </c>
      <c r="B326" s="1" t="s">
        <v>1057</v>
      </c>
      <c r="C326" s="1" t="s">
        <v>499</v>
      </c>
      <c r="D326" s="69">
        <v>2470846063</v>
      </c>
      <c r="E326" s="70">
        <v>45985.547303240739</v>
      </c>
      <c r="F326" s="127" t="s">
        <v>1018</v>
      </c>
      <c r="G326" s="71">
        <v>90</v>
      </c>
      <c r="H326" s="71">
        <v>0</v>
      </c>
      <c r="I326" s="81">
        <v>0</v>
      </c>
      <c r="J326" s="71">
        <v>0</v>
      </c>
      <c r="K326" s="66" t="s">
        <v>989</v>
      </c>
      <c r="L326" s="73" t="s">
        <v>1009</v>
      </c>
      <c r="M326" s="73" t="s">
        <v>1009</v>
      </c>
      <c r="N326" s="74">
        <v>46039</v>
      </c>
      <c r="O326" s="74">
        <v>46297</v>
      </c>
      <c r="P326" s="74"/>
      <c r="Q326" s="1">
        <v>1488</v>
      </c>
      <c r="R326" t="str">
        <f t="shared" si="5"/>
        <v>Abierto</v>
      </c>
      <c r="S326" s="1" t="s">
        <v>994</v>
      </c>
      <c r="T326" s="1"/>
    </row>
    <row r="327" spans="1:20" x14ac:dyDescent="0.3">
      <c r="A327">
        <v>326</v>
      </c>
      <c r="B327" s="1" t="s">
        <v>1057</v>
      </c>
      <c r="C327" s="1" t="s">
        <v>500</v>
      </c>
      <c r="D327" s="69">
        <v>1430080358</v>
      </c>
      <c r="E327" s="70">
        <v>45985.547384259262</v>
      </c>
      <c r="F327" s="127" t="s">
        <v>1018</v>
      </c>
      <c r="G327" s="71">
        <v>90</v>
      </c>
      <c r="H327" s="71">
        <v>0</v>
      </c>
      <c r="I327" s="81">
        <v>0</v>
      </c>
      <c r="J327" s="71">
        <v>0</v>
      </c>
      <c r="K327" s="66" t="s">
        <v>989</v>
      </c>
      <c r="L327" s="73" t="s">
        <v>1009</v>
      </c>
      <c r="M327" s="73" t="s">
        <v>1009</v>
      </c>
      <c r="N327" s="74">
        <v>46039</v>
      </c>
      <c r="O327" s="74">
        <v>46297</v>
      </c>
      <c r="P327" s="74"/>
      <c r="Q327" s="1">
        <v>1489</v>
      </c>
      <c r="R327" t="str">
        <f t="shared" si="5"/>
        <v>Abierto</v>
      </c>
      <c r="S327" s="1" t="s">
        <v>994</v>
      </c>
      <c r="T327" s="1"/>
    </row>
    <row r="328" spans="1:20" x14ac:dyDescent="0.3">
      <c r="A328">
        <v>327</v>
      </c>
      <c r="B328" s="1" t="s">
        <v>1057</v>
      </c>
      <c r="C328" s="1" t="s">
        <v>501</v>
      </c>
      <c r="D328" s="69">
        <v>1850812511</v>
      </c>
      <c r="E328" s="70">
        <v>45985.547453703701</v>
      </c>
      <c r="F328" s="127" t="s">
        <v>1018</v>
      </c>
      <c r="G328" s="71">
        <v>90</v>
      </c>
      <c r="H328" s="71">
        <v>0</v>
      </c>
      <c r="I328" s="81">
        <v>0</v>
      </c>
      <c r="J328" s="71">
        <v>0</v>
      </c>
      <c r="K328" s="66" t="s">
        <v>989</v>
      </c>
      <c r="L328" s="73" t="s">
        <v>1009</v>
      </c>
      <c r="M328" s="73" t="s">
        <v>1009</v>
      </c>
      <c r="N328" s="74">
        <v>46039</v>
      </c>
      <c r="O328" s="74">
        <v>46297</v>
      </c>
      <c r="P328" s="74"/>
      <c r="Q328" s="1">
        <v>1490</v>
      </c>
      <c r="R328" t="str">
        <f t="shared" si="5"/>
        <v>Abierto</v>
      </c>
      <c r="S328" s="1" t="s">
        <v>994</v>
      </c>
      <c r="T328" s="1"/>
    </row>
    <row r="329" spans="1:20" x14ac:dyDescent="0.3">
      <c r="A329">
        <v>328</v>
      </c>
      <c r="B329" s="1" t="s">
        <v>1057</v>
      </c>
      <c r="C329" s="1" t="s">
        <v>502</v>
      </c>
      <c r="D329" s="69">
        <v>3115952878</v>
      </c>
      <c r="E329" s="70">
        <v>45985.547523148147</v>
      </c>
      <c r="F329" s="127" t="s">
        <v>1018</v>
      </c>
      <c r="G329" s="71">
        <v>90</v>
      </c>
      <c r="H329" s="71">
        <v>0</v>
      </c>
      <c r="I329" s="81">
        <v>0</v>
      </c>
      <c r="J329" s="71">
        <v>0</v>
      </c>
      <c r="K329" s="66" t="s">
        <v>989</v>
      </c>
      <c r="L329" s="73" t="s">
        <v>1009</v>
      </c>
      <c r="M329" s="73" t="s">
        <v>1009</v>
      </c>
      <c r="N329" s="74">
        <v>46039</v>
      </c>
      <c r="O329" s="74">
        <v>46297</v>
      </c>
      <c r="P329" s="74"/>
      <c r="Q329" s="1">
        <v>1491</v>
      </c>
      <c r="R329" t="str">
        <f t="shared" si="5"/>
        <v>Abierto</v>
      </c>
      <c r="S329" s="1" t="s">
        <v>994</v>
      </c>
      <c r="T329" s="1"/>
    </row>
    <row r="330" spans="1:20" x14ac:dyDescent="0.3">
      <c r="A330">
        <v>329</v>
      </c>
      <c r="B330" s="1" t="s">
        <v>1057</v>
      </c>
      <c r="C330" s="1" t="s">
        <v>503</v>
      </c>
      <c r="D330" s="69">
        <v>3576313860</v>
      </c>
      <c r="E330" s="70">
        <v>45985.54760416667</v>
      </c>
      <c r="F330" s="127" t="s">
        <v>1018</v>
      </c>
      <c r="G330" s="71">
        <v>90</v>
      </c>
      <c r="H330" s="71">
        <v>0</v>
      </c>
      <c r="I330" s="81">
        <v>0</v>
      </c>
      <c r="J330" s="71">
        <v>0</v>
      </c>
      <c r="K330" s="66" t="s">
        <v>989</v>
      </c>
      <c r="L330" s="73" t="s">
        <v>1009</v>
      </c>
      <c r="M330" s="73" t="s">
        <v>1009</v>
      </c>
      <c r="N330" s="74">
        <v>46039</v>
      </c>
      <c r="O330" s="74">
        <v>46297</v>
      </c>
      <c r="P330" s="74"/>
      <c r="Q330" s="1">
        <v>1492</v>
      </c>
      <c r="R330" t="str">
        <f t="shared" si="5"/>
        <v>Abierto</v>
      </c>
      <c r="S330" s="1" t="s">
        <v>994</v>
      </c>
      <c r="T330" s="1"/>
    </row>
    <row r="331" spans="1:20" x14ac:dyDescent="0.3">
      <c r="A331">
        <v>330</v>
      </c>
      <c r="B331" s="1" t="s">
        <v>1057</v>
      </c>
      <c r="C331" s="1" t="s">
        <v>504</v>
      </c>
      <c r="D331" s="69">
        <v>2868864822</v>
      </c>
      <c r="E331" s="70">
        <v>45985.547685185193</v>
      </c>
      <c r="F331" s="127" t="s">
        <v>1018</v>
      </c>
      <c r="G331" s="71">
        <v>90</v>
      </c>
      <c r="H331" s="71">
        <v>0</v>
      </c>
      <c r="I331" s="81">
        <v>0</v>
      </c>
      <c r="J331" s="71">
        <v>0</v>
      </c>
      <c r="K331" s="66" t="s">
        <v>989</v>
      </c>
      <c r="L331" s="73" t="s">
        <v>1009</v>
      </c>
      <c r="M331" s="73" t="s">
        <v>1009</v>
      </c>
      <c r="N331" s="74">
        <v>46039</v>
      </c>
      <c r="O331" s="74">
        <v>46297</v>
      </c>
      <c r="P331" s="74"/>
      <c r="Q331" s="1">
        <v>1493</v>
      </c>
      <c r="R331" t="str">
        <f t="shared" si="5"/>
        <v>Abierto</v>
      </c>
      <c r="S331" s="1" t="s">
        <v>994</v>
      </c>
      <c r="T331" s="1"/>
    </row>
    <row r="332" spans="1:20" x14ac:dyDescent="0.3">
      <c r="A332">
        <v>331</v>
      </c>
      <c r="B332" s="1" t="s">
        <v>1057</v>
      </c>
      <c r="C332" s="1" t="s">
        <v>505</v>
      </c>
      <c r="D332" s="69">
        <v>3258187502</v>
      </c>
      <c r="E332" s="70">
        <v>45985.547766203701</v>
      </c>
      <c r="F332" s="127" t="s">
        <v>1018</v>
      </c>
      <c r="G332" s="71">
        <v>90</v>
      </c>
      <c r="H332" s="71">
        <v>0</v>
      </c>
      <c r="I332" s="81">
        <v>0</v>
      </c>
      <c r="J332" s="71">
        <v>0</v>
      </c>
      <c r="K332" s="66" t="s">
        <v>989</v>
      </c>
      <c r="L332" s="73" t="s">
        <v>1009</v>
      </c>
      <c r="M332" s="73" t="s">
        <v>1009</v>
      </c>
      <c r="N332" s="74">
        <v>46039</v>
      </c>
      <c r="O332" s="74">
        <v>46297</v>
      </c>
      <c r="P332" s="74"/>
      <c r="Q332" s="1">
        <v>1494</v>
      </c>
      <c r="R332" t="str">
        <f t="shared" si="5"/>
        <v>Abierto</v>
      </c>
      <c r="S332" s="1" t="s">
        <v>994</v>
      </c>
      <c r="T332" s="1"/>
    </row>
    <row r="333" spans="1:20" x14ac:dyDescent="0.3">
      <c r="A333">
        <v>332</v>
      </c>
      <c r="B333" s="1" t="s">
        <v>1057</v>
      </c>
      <c r="C333" s="1" t="s">
        <v>506</v>
      </c>
      <c r="D333" s="69">
        <v>1307227384</v>
      </c>
      <c r="E333" s="70">
        <v>45985.547835648147</v>
      </c>
      <c r="F333" s="127" t="s">
        <v>1018</v>
      </c>
      <c r="G333" s="71">
        <v>90</v>
      </c>
      <c r="H333" s="71">
        <v>0</v>
      </c>
      <c r="I333" s="81">
        <v>0</v>
      </c>
      <c r="J333" s="71">
        <v>0</v>
      </c>
      <c r="K333" s="66" t="s">
        <v>989</v>
      </c>
      <c r="L333" s="73" t="s">
        <v>1009</v>
      </c>
      <c r="M333" s="73" t="s">
        <v>1009</v>
      </c>
      <c r="N333" s="74">
        <v>46039</v>
      </c>
      <c r="O333" s="74">
        <v>46297</v>
      </c>
      <c r="P333" s="74"/>
      <c r="Q333" s="1">
        <v>1495</v>
      </c>
      <c r="R333" t="str">
        <f t="shared" si="5"/>
        <v>Abierto</v>
      </c>
      <c r="S333" s="1" t="s">
        <v>994</v>
      </c>
      <c r="T333" s="1"/>
    </row>
    <row r="334" spans="1:20" x14ac:dyDescent="0.3">
      <c r="A334">
        <v>333</v>
      </c>
      <c r="B334" s="28" t="s">
        <v>1073</v>
      </c>
      <c r="C334" s="28" t="s">
        <v>507</v>
      </c>
      <c r="D334" s="90" t="s">
        <v>508</v>
      </c>
      <c r="E334" s="91">
        <v>45985.789594907408</v>
      </c>
      <c r="F334" s="133" t="s">
        <v>1042</v>
      </c>
      <c r="G334" s="92">
        <v>80</v>
      </c>
      <c r="H334" s="92">
        <v>230</v>
      </c>
      <c r="I334" s="100">
        <v>0</v>
      </c>
      <c r="J334" s="92">
        <v>230</v>
      </c>
      <c r="K334" s="66" t="s">
        <v>989</v>
      </c>
      <c r="L334" s="93" t="s">
        <v>1010</v>
      </c>
      <c r="M334" s="93" t="s">
        <v>1010</v>
      </c>
      <c r="N334" s="94"/>
      <c r="O334" s="94"/>
      <c r="P334" s="94"/>
      <c r="Q334" s="28"/>
      <c r="R334" t="str">
        <f t="shared" si="5"/>
        <v>Abierto</v>
      </c>
      <c r="S334" s="28" t="s">
        <v>997</v>
      </c>
      <c r="T334" s="28"/>
    </row>
    <row r="335" spans="1:20" s="11" customFormat="1" x14ac:dyDescent="0.3">
      <c r="A335">
        <v>334</v>
      </c>
      <c r="B335" t="s">
        <v>1073</v>
      </c>
      <c r="C335" t="s">
        <v>509</v>
      </c>
      <c r="D335" s="6" t="s">
        <v>431</v>
      </c>
      <c r="E335" s="49">
        <v>45985.854930555557</v>
      </c>
      <c r="F335" s="132" t="s">
        <v>1018</v>
      </c>
      <c r="G335" s="44">
        <v>70</v>
      </c>
      <c r="H335" s="44">
        <v>0</v>
      </c>
      <c r="I335" s="20">
        <v>0</v>
      </c>
      <c r="J335" s="44">
        <v>0</v>
      </c>
      <c r="K335" s="66" t="s">
        <v>989</v>
      </c>
      <c r="L335" s="7" t="s">
        <v>1009</v>
      </c>
      <c r="M335" s="7" t="s">
        <v>1009</v>
      </c>
      <c r="N335" s="54"/>
      <c r="O335" s="54"/>
      <c r="P335" s="54"/>
      <c r="Q335"/>
      <c r="R335" t="str">
        <f t="shared" si="5"/>
        <v>Abierto</v>
      </c>
      <c r="S335" t="s">
        <v>996</v>
      </c>
      <c r="T335"/>
    </row>
    <row r="336" spans="1:20" s="1" customFormat="1" x14ac:dyDescent="0.3">
      <c r="A336">
        <v>335</v>
      </c>
      <c r="B336" s="11" t="s">
        <v>1074</v>
      </c>
      <c r="C336" s="11" t="s">
        <v>510</v>
      </c>
      <c r="D336" s="9" t="s">
        <v>1011</v>
      </c>
      <c r="E336" s="75">
        <v>45986.381828703707</v>
      </c>
      <c r="F336" s="130" t="s">
        <v>1018</v>
      </c>
      <c r="G336" s="76">
        <v>0</v>
      </c>
      <c r="H336" s="76">
        <v>0</v>
      </c>
      <c r="I336" s="89">
        <v>0</v>
      </c>
      <c r="J336" s="76">
        <v>0</v>
      </c>
      <c r="K336" s="66" t="s">
        <v>989</v>
      </c>
      <c r="L336" s="78" t="s">
        <v>1009</v>
      </c>
      <c r="M336" s="78" t="s">
        <v>1009</v>
      </c>
      <c r="N336" s="79"/>
      <c r="O336" s="79"/>
      <c r="P336" s="79"/>
      <c r="Q336" s="11"/>
      <c r="R336" t="str">
        <f t="shared" si="5"/>
        <v>Cerrado</v>
      </c>
      <c r="S336" s="11" t="s">
        <v>993</v>
      </c>
      <c r="T336" s="11"/>
    </row>
    <row r="337" spans="1:20" x14ac:dyDescent="0.3">
      <c r="A337">
        <v>336</v>
      </c>
      <c r="B337" s="1" t="s">
        <v>1057</v>
      </c>
      <c r="C337" s="1" t="s">
        <v>511</v>
      </c>
      <c r="D337" s="152">
        <v>1982879955</v>
      </c>
      <c r="E337" s="70">
        <v>45986.994409722232</v>
      </c>
      <c r="F337" s="127" t="s">
        <v>1018</v>
      </c>
      <c r="G337" s="71">
        <v>90</v>
      </c>
      <c r="H337" s="71">
        <v>312.16000000000003</v>
      </c>
      <c r="I337" s="81">
        <v>0</v>
      </c>
      <c r="J337" s="71">
        <v>312.16000000000003</v>
      </c>
      <c r="K337" s="66" t="s">
        <v>989</v>
      </c>
      <c r="L337" s="73" t="s">
        <v>1010</v>
      </c>
      <c r="M337" s="73" t="s">
        <v>1010</v>
      </c>
      <c r="N337" s="74">
        <v>46303</v>
      </c>
      <c r="O337" s="74">
        <v>46063</v>
      </c>
      <c r="P337" s="74"/>
      <c r="Q337" s="1">
        <v>1443</v>
      </c>
      <c r="R337" t="str">
        <f t="shared" si="5"/>
        <v>Abierto</v>
      </c>
      <c r="S337" s="1" t="s">
        <v>994</v>
      </c>
      <c r="T337" s="1"/>
    </row>
    <row r="338" spans="1:20" x14ac:dyDescent="0.3">
      <c r="A338">
        <v>337</v>
      </c>
      <c r="B338" s="11" t="s">
        <v>1062</v>
      </c>
      <c r="C338" s="11" t="s">
        <v>512</v>
      </c>
      <c r="D338" s="9" t="s">
        <v>1011</v>
      </c>
      <c r="E338" s="75">
        <v>45987.348657407398</v>
      </c>
      <c r="F338" s="130" t="s">
        <v>1028</v>
      </c>
      <c r="G338" s="76">
        <v>0</v>
      </c>
      <c r="H338" s="76">
        <v>0</v>
      </c>
      <c r="I338" s="89">
        <v>0</v>
      </c>
      <c r="J338" s="76">
        <v>0</v>
      </c>
      <c r="K338" s="66" t="s">
        <v>989</v>
      </c>
      <c r="L338" s="78" t="s">
        <v>1009</v>
      </c>
      <c r="M338" s="78" t="s">
        <v>1009</v>
      </c>
      <c r="N338" s="79"/>
      <c r="O338" s="79"/>
      <c r="P338" s="79"/>
      <c r="Q338" s="11"/>
      <c r="R338" t="str">
        <f t="shared" si="5"/>
        <v>Cerrado</v>
      </c>
      <c r="S338" s="11" t="s">
        <v>993</v>
      </c>
      <c r="T338" s="11"/>
    </row>
    <row r="339" spans="1:20" s="11" customFormat="1" x14ac:dyDescent="0.3">
      <c r="A339">
        <v>338</v>
      </c>
      <c r="B339" s="28" t="s">
        <v>1073</v>
      </c>
      <c r="C339" s="28" t="s">
        <v>513</v>
      </c>
      <c r="D339" s="90" t="s">
        <v>514</v>
      </c>
      <c r="E339" s="91">
        <v>45988.340219907397</v>
      </c>
      <c r="F339" s="133" t="s">
        <v>1016</v>
      </c>
      <c r="G339" s="92">
        <v>80</v>
      </c>
      <c r="H339" s="92">
        <v>25</v>
      </c>
      <c r="I339" s="100">
        <v>0</v>
      </c>
      <c r="J339" s="92">
        <v>25</v>
      </c>
      <c r="K339" s="66" t="s">
        <v>989</v>
      </c>
      <c r="L339" s="93" t="s">
        <v>1009</v>
      </c>
      <c r="M339" s="93" t="s">
        <v>1010</v>
      </c>
      <c r="N339" s="94"/>
      <c r="O339" s="94"/>
      <c r="P339" s="94"/>
      <c r="Q339" s="28"/>
      <c r="R339" t="str">
        <f t="shared" si="5"/>
        <v>Abierto</v>
      </c>
      <c r="S339" s="28" t="s">
        <v>997</v>
      </c>
      <c r="T339" s="28"/>
    </row>
    <row r="340" spans="1:20" x14ac:dyDescent="0.3">
      <c r="A340">
        <v>339</v>
      </c>
      <c r="B340" s="28" t="s">
        <v>1060</v>
      </c>
      <c r="C340" s="28" t="s">
        <v>515</v>
      </c>
      <c r="D340" s="90" t="s">
        <v>516</v>
      </c>
      <c r="E340" s="91">
        <v>45988.488726851851</v>
      </c>
      <c r="F340" s="133" t="s">
        <v>1026</v>
      </c>
      <c r="G340" s="92">
        <v>80</v>
      </c>
      <c r="H340" s="92">
        <v>1704.56</v>
      </c>
      <c r="I340" s="100">
        <v>0</v>
      </c>
      <c r="J340" s="92">
        <v>1704.56</v>
      </c>
      <c r="K340" s="66" t="s">
        <v>989</v>
      </c>
      <c r="L340" s="93" t="s">
        <v>1010</v>
      </c>
      <c r="M340" s="93" t="s">
        <v>1010</v>
      </c>
      <c r="N340" s="94"/>
      <c r="O340" s="94"/>
      <c r="P340" s="94"/>
      <c r="Q340" s="28"/>
      <c r="R340" t="str">
        <f t="shared" si="5"/>
        <v>Abierto</v>
      </c>
      <c r="S340" s="28" t="s">
        <v>997</v>
      </c>
      <c r="T340" s="28"/>
    </row>
    <row r="341" spans="1:20" s="1" customFormat="1" x14ac:dyDescent="0.3">
      <c r="A341">
        <v>340</v>
      </c>
      <c r="B341" s="28" t="s">
        <v>1074</v>
      </c>
      <c r="C341" s="28" t="s">
        <v>517</v>
      </c>
      <c r="D341" s="90" t="s">
        <v>518</v>
      </c>
      <c r="E341" s="91">
        <v>45989.39266203704</v>
      </c>
      <c r="F341" s="133" t="s">
        <v>1018</v>
      </c>
      <c r="G341" s="92">
        <v>0</v>
      </c>
      <c r="H341" s="100">
        <v>98.25</v>
      </c>
      <c r="I341" s="100">
        <v>0</v>
      </c>
      <c r="J341" s="92">
        <v>98.25</v>
      </c>
      <c r="K341" s="66" t="s">
        <v>989</v>
      </c>
      <c r="L341" s="93" t="s">
        <v>1010</v>
      </c>
      <c r="M341" s="93" t="s">
        <v>1010</v>
      </c>
      <c r="N341" s="94"/>
      <c r="O341" s="94"/>
      <c r="P341" s="94"/>
      <c r="Q341" s="28"/>
      <c r="R341" t="str">
        <f t="shared" si="5"/>
        <v>Abierto</v>
      </c>
      <c r="S341" s="28" t="s">
        <v>997</v>
      </c>
      <c r="T341" s="28"/>
    </row>
    <row r="342" spans="1:20" x14ac:dyDescent="0.3">
      <c r="A342">
        <v>341</v>
      </c>
      <c r="B342" s="11" t="s">
        <v>1074</v>
      </c>
      <c r="C342" s="11" t="s">
        <v>519</v>
      </c>
      <c r="D342" s="83" t="s">
        <v>520</v>
      </c>
      <c r="E342" s="75">
        <v>45989.476666666669</v>
      </c>
      <c r="F342" s="130" t="s">
        <v>1018</v>
      </c>
      <c r="G342" s="76">
        <v>0</v>
      </c>
      <c r="H342" s="76">
        <v>0</v>
      </c>
      <c r="I342" s="89">
        <v>0</v>
      </c>
      <c r="J342" s="76">
        <v>0</v>
      </c>
      <c r="K342" s="66" t="s">
        <v>989</v>
      </c>
      <c r="L342" s="78" t="s">
        <v>1009</v>
      </c>
      <c r="M342" s="78" t="s">
        <v>1009</v>
      </c>
      <c r="N342" s="79"/>
      <c r="O342" s="79"/>
      <c r="P342" s="79"/>
      <c r="Q342" s="11"/>
      <c r="R342" t="str">
        <f t="shared" si="5"/>
        <v>Cerrado</v>
      </c>
      <c r="S342" s="11" t="s">
        <v>993</v>
      </c>
      <c r="T342" s="11"/>
    </row>
    <row r="343" spans="1:20" x14ac:dyDescent="0.3">
      <c r="A343">
        <v>342</v>
      </c>
      <c r="B343" s="11" t="s">
        <v>1074</v>
      </c>
      <c r="C343" s="11" t="s">
        <v>521</v>
      </c>
      <c r="D343" s="83" t="s">
        <v>522</v>
      </c>
      <c r="E343" s="75">
        <v>45989.50509259259</v>
      </c>
      <c r="F343" s="130" t="s">
        <v>1016</v>
      </c>
      <c r="G343" s="76">
        <v>0</v>
      </c>
      <c r="H343" s="76">
        <v>0</v>
      </c>
      <c r="I343" s="89">
        <v>0</v>
      </c>
      <c r="J343" s="76">
        <v>0</v>
      </c>
      <c r="K343" s="66" t="s">
        <v>989</v>
      </c>
      <c r="L343" s="78" t="s">
        <v>1009</v>
      </c>
      <c r="M343" s="78" t="s">
        <v>1009</v>
      </c>
      <c r="N343" s="79"/>
      <c r="O343" s="79"/>
      <c r="P343" s="79"/>
      <c r="Q343" s="11"/>
      <c r="R343" t="str">
        <f t="shared" si="5"/>
        <v>Cerrado</v>
      </c>
      <c r="S343" s="11" t="s">
        <v>993</v>
      </c>
      <c r="T343" s="11"/>
    </row>
    <row r="344" spans="1:20" s="11" customFormat="1" x14ac:dyDescent="0.3">
      <c r="A344">
        <v>343</v>
      </c>
      <c r="B344" s="1" t="s">
        <v>1057</v>
      </c>
      <c r="C344" s="1" t="s">
        <v>523</v>
      </c>
      <c r="D344" s="1">
        <v>3364427163</v>
      </c>
      <c r="E344" s="70">
        <v>45989.567789351851</v>
      </c>
      <c r="F344" s="127" t="s">
        <v>1051</v>
      </c>
      <c r="G344" s="71">
        <v>90</v>
      </c>
      <c r="H344" s="71">
        <v>0</v>
      </c>
      <c r="I344" s="81">
        <v>0</v>
      </c>
      <c r="J344" s="71">
        <v>0</v>
      </c>
      <c r="K344" s="66" t="s">
        <v>989</v>
      </c>
      <c r="L344" s="73" t="s">
        <v>1009</v>
      </c>
      <c r="M344" s="73" t="s">
        <v>1009</v>
      </c>
      <c r="N344" s="74">
        <v>46001</v>
      </c>
      <c r="O344" s="74">
        <v>46032</v>
      </c>
      <c r="P344" s="74"/>
      <c r="Q344" s="1">
        <v>1432</v>
      </c>
      <c r="R344" t="str">
        <f t="shared" si="5"/>
        <v>Abierto</v>
      </c>
      <c r="S344" s="1" t="s">
        <v>994</v>
      </c>
      <c r="T344" s="1"/>
    </row>
    <row r="345" spans="1:20" x14ac:dyDescent="0.3">
      <c r="A345">
        <v>344</v>
      </c>
      <c r="B345" t="s">
        <v>1073</v>
      </c>
      <c r="C345" t="s">
        <v>524</v>
      </c>
      <c r="D345" s="6" t="s">
        <v>525</v>
      </c>
      <c r="E345" s="49">
        <v>45989.628958333327</v>
      </c>
      <c r="F345" s="132" t="s">
        <v>526</v>
      </c>
      <c r="G345" s="44">
        <v>0</v>
      </c>
      <c r="H345" s="44">
        <v>0</v>
      </c>
      <c r="I345" s="20">
        <v>0</v>
      </c>
      <c r="J345" s="44">
        <v>0</v>
      </c>
      <c r="K345" s="66" t="s">
        <v>989</v>
      </c>
      <c r="L345" s="7" t="s">
        <v>1009</v>
      </c>
      <c r="M345" s="7" t="s">
        <v>1009</v>
      </c>
      <c r="R345" t="str">
        <f t="shared" si="5"/>
        <v>Abierto</v>
      </c>
      <c r="S345" t="s">
        <v>996</v>
      </c>
    </row>
    <row r="346" spans="1:20" x14ac:dyDescent="0.3">
      <c r="A346">
        <v>345</v>
      </c>
      <c r="B346" s="28" t="s">
        <v>1073</v>
      </c>
      <c r="C346" s="28" t="s">
        <v>527</v>
      </c>
      <c r="D346" s="90" t="s">
        <v>528</v>
      </c>
      <c r="E346" s="91">
        <v>45990.379826388889</v>
      </c>
      <c r="F346" s="133" t="s">
        <v>1049</v>
      </c>
      <c r="G346" s="92">
        <v>80</v>
      </c>
      <c r="H346" s="92">
        <v>3356</v>
      </c>
      <c r="I346" s="100">
        <v>0</v>
      </c>
      <c r="J346" s="92">
        <v>3356</v>
      </c>
      <c r="K346" s="66" t="s">
        <v>989</v>
      </c>
      <c r="L346" s="93" t="s">
        <v>1010</v>
      </c>
      <c r="M346" s="93" t="s">
        <v>1010</v>
      </c>
      <c r="N346" s="94"/>
      <c r="O346" s="94"/>
      <c r="P346" s="94"/>
      <c r="Q346" s="28"/>
      <c r="R346" t="str">
        <f t="shared" si="5"/>
        <v>Abierto</v>
      </c>
      <c r="S346" s="28" t="s">
        <v>997</v>
      </c>
      <c r="T346" s="28"/>
    </row>
    <row r="347" spans="1:20" x14ac:dyDescent="0.3">
      <c r="A347">
        <v>346</v>
      </c>
      <c r="B347" s="11" t="s">
        <v>1074</v>
      </c>
      <c r="C347" s="11" t="s">
        <v>529</v>
      </c>
      <c r="D347" s="9" t="s">
        <v>1011</v>
      </c>
      <c r="E347" s="75">
        <v>45990.97929398148</v>
      </c>
      <c r="F347" s="130" t="s">
        <v>1048</v>
      </c>
      <c r="G347" s="76">
        <v>0</v>
      </c>
      <c r="H347" s="76">
        <v>0</v>
      </c>
      <c r="I347" s="89">
        <v>0</v>
      </c>
      <c r="J347" s="76">
        <v>0</v>
      </c>
      <c r="K347" s="66" t="s">
        <v>989</v>
      </c>
      <c r="L347" s="78" t="s">
        <v>1009</v>
      </c>
      <c r="M347" s="78" t="s">
        <v>1009</v>
      </c>
      <c r="N347" s="79"/>
      <c r="O347" s="79"/>
      <c r="P347" s="79"/>
      <c r="Q347" s="11"/>
      <c r="R347" t="str">
        <f t="shared" si="5"/>
        <v>Cerrado</v>
      </c>
      <c r="S347" s="11" t="s">
        <v>993</v>
      </c>
      <c r="T347" s="11"/>
    </row>
    <row r="348" spans="1:20" s="1" customFormat="1" x14ac:dyDescent="0.3">
      <c r="A348">
        <v>347</v>
      </c>
      <c r="B348" s="28" t="s">
        <v>1073</v>
      </c>
      <c r="C348" s="28" t="s">
        <v>530</v>
      </c>
      <c r="D348" s="90" t="s">
        <v>531</v>
      </c>
      <c r="E348" s="91">
        <v>45991.796736111108</v>
      </c>
      <c r="F348" s="133" t="s">
        <v>1049</v>
      </c>
      <c r="G348" s="92">
        <v>80</v>
      </c>
      <c r="H348" s="92">
        <v>1610</v>
      </c>
      <c r="I348" s="100">
        <v>0</v>
      </c>
      <c r="J348" s="92">
        <v>1610</v>
      </c>
      <c r="K348" s="66" t="s">
        <v>989</v>
      </c>
      <c r="L348" s="93" t="s">
        <v>1010</v>
      </c>
      <c r="M348" s="93" t="s">
        <v>1010</v>
      </c>
      <c r="N348" s="94"/>
      <c r="O348" s="94"/>
      <c r="P348" s="94"/>
      <c r="Q348" s="28"/>
      <c r="R348" t="str">
        <f t="shared" si="5"/>
        <v>Abierto</v>
      </c>
      <c r="S348" s="28" t="s">
        <v>997</v>
      </c>
      <c r="T348" s="28"/>
    </row>
    <row r="349" spans="1:20" x14ac:dyDescent="0.3">
      <c r="A349">
        <v>348</v>
      </c>
      <c r="B349" s="1" t="s">
        <v>1074</v>
      </c>
      <c r="C349" s="1" t="s">
        <v>532</v>
      </c>
      <c r="D349" s="69" t="s">
        <v>533</v>
      </c>
      <c r="E349" s="70">
        <v>45991.800833333327</v>
      </c>
      <c r="F349" s="127" t="s">
        <v>1049</v>
      </c>
      <c r="G349" s="71">
        <v>80</v>
      </c>
      <c r="H349" s="71">
        <v>1582</v>
      </c>
      <c r="I349" s="81">
        <v>0</v>
      </c>
      <c r="J349" s="71">
        <v>1582</v>
      </c>
      <c r="K349" s="66" t="s">
        <v>989</v>
      </c>
      <c r="L349" s="73" t="s">
        <v>1010</v>
      </c>
      <c r="M349" s="73" t="s">
        <v>1010</v>
      </c>
      <c r="N349" s="74">
        <v>46030</v>
      </c>
      <c r="O349" s="74">
        <v>46063</v>
      </c>
      <c r="P349" s="74"/>
      <c r="Q349" s="1">
        <v>1444</v>
      </c>
      <c r="R349" t="str">
        <f t="shared" si="5"/>
        <v>Abierto</v>
      </c>
      <c r="S349" s="1" t="s">
        <v>994</v>
      </c>
      <c r="T349" s="1"/>
    </row>
    <row r="350" spans="1:20" s="11" customFormat="1" x14ac:dyDescent="0.3">
      <c r="A350">
        <v>349</v>
      </c>
      <c r="B350" s="28" t="s">
        <v>1073</v>
      </c>
      <c r="C350" s="28" t="s">
        <v>534</v>
      </c>
      <c r="D350" s="90" t="s">
        <v>535</v>
      </c>
      <c r="E350" s="91">
        <v>45992.40525462963</v>
      </c>
      <c r="F350" s="133" t="s">
        <v>1049</v>
      </c>
      <c r="G350" s="92">
        <v>80</v>
      </c>
      <c r="H350" s="92">
        <v>295</v>
      </c>
      <c r="I350" s="100">
        <v>0</v>
      </c>
      <c r="J350" s="92">
        <v>295</v>
      </c>
      <c r="K350" s="66" t="s">
        <v>989</v>
      </c>
      <c r="L350" s="93" t="s">
        <v>1010</v>
      </c>
      <c r="M350" s="93" t="s">
        <v>1010</v>
      </c>
      <c r="N350" s="94"/>
      <c r="O350" s="94"/>
      <c r="P350" s="94"/>
      <c r="Q350" s="28"/>
      <c r="R350" t="str">
        <f t="shared" si="5"/>
        <v>Abierto</v>
      </c>
      <c r="S350" s="28" t="s">
        <v>997</v>
      </c>
      <c r="T350" s="28"/>
    </row>
    <row r="351" spans="1:20" x14ac:dyDescent="0.3">
      <c r="A351">
        <v>350</v>
      </c>
      <c r="B351" s="28" t="s">
        <v>1073</v>
      </c>
      <c r="C351" s="28" t="s">
        <v>536</v>
      </c>
      <c r="D351" s="90" t="s">
        <v>537</v>
      </c>
      <c r="E351" s="91">
        <v>45992.410462962973</v>
      </c>
      <c r="F351" s="133" t="s">
        <v>1049</v>
      </c>
      <c r="G351" s="92">
        <v>80</v>
      </c>
      <c r="H351" s="92">
        <v>497</v>
      </c>
      <c r="I351" s="100">
        <v>0</v>
      </c>
      <c r="J351" s="92">
        <v>497</v>
      </c>
      <c r="K351" s="66" t="s">
        <v>989</v>
      </c>
      <c r="L351" s="93" t="s">
        <v>1010</v>
      </c>
      <c r="M351" s="93" t="s">
        <v>1010</v>
      </c>
      <c r="N351" s="94"/>
      <c r="O351" s="94"/>
      <c r="P351" s="94"/>
      <c r="Q351" s="28"/>
      <c r="R351" t="str">
        <f t="shared" si="5"/>
        <v>Abierto</v>
      </c>
      <c r="S351" s="28" t="s">
        <v>997</v>
      </c>
      <c r="T351" s="28"/>
    </row>
    <row r="352" spans="1:20" x14ac:dyDescent="0.3">
      <c r="A352">
        <v>351</v>
      </c>
      <c r="B352" s="28" t="s">
        <v>1073</v>
      </c>
      <c r="C352" s="28" t="s">
        <v>538</v>
      </c>
      <c r="D352" s="90" t="s">
        <v>539</v>
      </c>
      <c r="E352" s="91">
        <v>45992.720335648148</v>
      </c>
      <c r="F352" s="133" t="s">
        <v>1018</v>
      </c>
      <c r="G352" s="92">
        <v>70</v>
      </c>
      <c r="H352" s="92">
        <v>98.25</v>
      </c>
      <c r="I352" s="100">
        <v>0</v>
      </c>
      <c r="J352" s="92">
        <v>98.25</v>
      </c>
      <c r="K352" s="66" t="s">
        <v>989</v>
      </c>
      <c r="L352" s="93" t="s">
        <v>1010</v>
      </c>
      <c r="M352" s="93" t="s">
        <v>1010</v>
      </c>
      <c r="N352" s="94"/>
      <c r="O352" s="94"/>
      <c r="P352" s="94"/>
      <c r="Q352" s="28"/>
      <c r="R352" t="str">
        <f t="shared" si="5"/>
        <v>Abierto</v>
      </c>
      <c r="S352" s="28" t="s">
        <v>997</v>
      </c>
      <c r="T352" s="28"/>
    </row>
    <row r="353" spans="1:20" s="1" customFormat="1" x14ac:dyDescent="0.3">
      <c r="A353">
        <v>352</v>
      </c>
      <c r="B353" s="11" t="s">
        <v>1073</v>
      </c>
      <c r="C353" s="11" t="s">
        <v>540</v>
      </c>
      <c r="D353" s="9" t="s">
        <v>1011</v>
      </c>
      <c r="E353" s="75">
        <v>45993.194351851853</v>
      </c>
      <c r="F353" s="130" t="s">
        <v>1016</v>
      </c>
      <c r="G353" s="76">
        <v>0</v>
      </c>
      <c r="H353" s="76">
        <v>0</v>
      </c>
      <c r="I353" s="89">
        <v>0</v>
      </c>
      <c r="J353" s="76">
        <v>0</v>
      </c>
      <c r="K353" s="66" t="s">
        <v>989</v>
      </c>
      <c r="L353" s="78" t="s">
        <v>1009</v>
      </c>
      <c r="M353" s="78" t="s">
        <v>1009</v>
      </c>
      <c r="N353" s="79"/>
      <c r="O353" s="79"/>
      <c r="P353" s="79"/>
      <c r="Q353" s="11"/>
      <c r="R353" t="str">
        <f t="shared" si="5"/>
        <v>Cerrado</v>
      </c>
      <c r="S353" s="11" t="s">
        <v>993</v>
      </c>
      <c r="T353" s="11"/>
    </row>
    <row r="354" spans="1:20" s="1" customFormat="1" x14ac:dyDescent="0.3">
      <c r="A354">
        <v>353</v>
      </c>
      <c r="B354" s="28" t="s">
        <v>1073</v>
      </c>
      <c r="C354" s="28" t="s">
        <v>541</v>
      </c>
      <c r="D354" s="90" t="s">
        <v>542</v>
      </c>
      <c r="E354" s="91">
        <v>45993.544062499997</v>
      </c>
      <c r="F354" s="133" t="s">
        <v>1042</v>
      </c>
      <c r="G354" s="92">
        <v>80</v>
      </c>
      <c r="H354" s="92">
        <v>77</v>
      </c>
      <c r="I354" s="100">
        <v>0</v>
      </c>
      <c r="J354" s="92">
        <v>77</v>
      </c>
      <c r="K354" s="66" t="s">
        <v>989</v>
      </c>
      <c r="L354" s="93" t="s">
        <v>1010</v>
      </c>
      <c r="M354" s="93" t="s">
        <v>1010</v>
      </c>
      <c r="N354" s="94"/>
      <c r="O354" s="94"/>
      <c r="P354" s="94"/>
      <c r="Q354" s="28"/>
      <c r="R354" t="str">
        <f t="shared" si="5"/>
        <v>Abierto</v>
      </c>
      <c r="S354" s="28" t="s">
        <v>997</v>
      </c>
      <c r="T354" s="28"/>
    </row>
    <row r="355" spans="1:20" s="1" customFormat="1" x14ac:dyDescent="0.3">
      <c r="A355">
        <v>354</v>
      </c>
      <c r="B355" s="28" t="s">
        <v>1060</v>
      </c>
      <c r="C355" s="28" t="s">
        <v>543</v>
      </c>
      <c r="D355" s="90" t="s">
        <v>544</v>
      </c>
      <c r="E355" s="91">
        <v>45993.576828703714</v>
      </c>
      <c r="F355" s="133" t="s">
        <v>1018</v>
      </c>
      <c r="G355" s="92">
        <v>70</v>
      </c>
      <c r="H355" s="92">
        <v>120</v>
      </c>
      <c r="I355" s="100">
        <v>0</v>
      </c>
      <c r="J355" s="92">
        <v>120</v>
      </c>
      <c r="K355" s="66" t="s">
        <v>989</v>
      </c>
      <c r="L355" s="93" t="s">
        <v>1010</v>
      </c>
      <c r="M355" s="93" t="s">
        <v>1010</v>
      </c>
      <c r="N355" s="94"/>
      <c r="O355" s="94"/>
      <c r="P355" s="94"/>
      <c r="Q355" s="28"/>
      <c r="R355" t="str">
        <f t="shared" si="5"/>
        <v>Abierto</v>
      </c>
      <c r="S355" s="28" t="s">
        <v>997</v>
      </c>
      <c r="T355" s="28"/>
    </row>
    <row r="356" spans="1:20" s="12" customFormat="1" x14ac:dyDescent="0.3">
      <c r="A356">
        <v>355</v>
      </c>
      <c r="B356" s="1" t="s">
        <v>1063</v>
      </c>
      <c r="C356" s="1" t="s">
        <v>545</v>
      </c>
      <c r="D356" s="117" t="s">
        <v>1011</v>
      </c>
      <c r="E356" s="70">
        <v>45994.358449074083</v>
      </c>
      <c r="F356" s="127" t="s">
        <v>1051</v>
      </c>
      <c r="G356" s="71">
        <v>80</v>
      </c>
      <c r="H356" s="71">
        <v>0</v>
      </c>
      <c r="I356" s="81">
        <v>0</v>
      </c>
      <c r="J356" s="71">
        <v>0</v>
      </c>
      <c r="K356" s="66" t="s">
        <v>989</v>
      </c>
      <c r="L356" s="73" t="s">
        <v>1010</v>
      </c>
      <c r="M356" s="73" t="s">
        <v>1009</v>
      </c>
      <c r="N356" s="74">
        <v>46001</v>
      </c>
      <c r="O356" s="74">
        <v>46032</v>
      </c>
      <c r="P356" s="74"/>
      <c r="Q356" s="1">
        <v>1433</v>
      </c>
      <c r="R356" t="str">
        <f t="shared" si="5"/>
        <v>Abierto</v>
      </c>
      <c r="S356" s="1" t="s">
        <v>994</v>
      </c>
      <c r="T356" s="1"/>
    </row>
    <row r="357" spans="1:20" s="12" customFormat="1" x14ac:dyDescent="0.3">
      <c r="A357">
        <v>356</v>
      </c>
      <c r="B357" s="12" t="s">
        <v>1073</v>
      </c>
      <c r="C357" s="12" t="s">
        <v>546</v>
      </c>
      <c r="D357" s="12" t="s">
        <v>547</v>
      </c>
      <c r="E357" s="61">
        <v>45994.52925925926</v>
      </c>
      <c r="F357" s="128" t="s">
        <v>1018</v>
      </c>
      <c r="G357" s="62">
        <v>80</v>
      </c>
      <c r="H357" s="62">
        <v>0</v>
      </c>
      <c r="I357" s="67">
        <v>0</v>
      </c>
      <c r="J357" s="62">
        <v>0</v>
      </c>
      <c r="K357" s="66" t="s">
        <v>989</v>
      </c>
      <c r="L357" s="64" t="s">
        <v>1009</v>
      </c>
      <c r="M357" s="64" t="s">
        <v>1009</v>
      </c>
      <c r="N357" s="65">
        <v>46001</v>
      </c>
      <c r="O357" s="65">
        <v>46032</v>
      </c>
      <c r="P357" s="65">
        <v>46009</v>
      </c>
      <c r="Q357" s="12">
        <v>1434</v>
      </c>
      <c r="R357" t="str">
        <f t="shared" si="5"/>
        <v>Cerrado</v>
      </c>
      <c r="S357" s="12" t="s">
        <v>995</v>
      </c>
    </row>
    <row r="358" spans="1:20" x14ac:dyDescent="0.3">
      <c r="A358">
        <v>357</v>
      </c>
      <c r="B358" s="12" t="s">
        <v>1074</v>
      </c>
      <c r="C358" s="12" t="s">
        <v>548</v>
      </c>
      <c r="D358" s="12" t="s">
        <v>549</v>
      </c>
      <c r="E358" s="61">
        <v>45994.814166666663</v>
      </c>
      <c r="F358" s="128" t="s">
        <v>1016</v>
      </c>
      <c r="G358" s="62">
        <v>80</v>
      </c>
      <c r="H358" s="62">
        <v>25000</v>
      </c>
      <c r="I358" s="67">
        <v>0</v>
      </c>
      <c r="J358" s="62">
        <v>27</v>
      </c>
      <c r="K358" s="66" t="s">
        <v>989</v>
      </c>
      <c r="L358" s="64" t="s">
        <v>1010</v>
      </c>
      <c r="M358" s="64" t="s">
        <v>1010</v>
      </c>
      <c r="N358" s="65">
        <v>46001</v>
      </c>
      <c r="O358" s="65">
        <v>46032</v>
      </c>
      <c r="P358" s="65">
        <v>46010</v>
      </c>
      <c r="Q358" s="12">
        <v>1435</v>
      </c>
      <c r="R358" t="str">
        <f t="shared" si="5"/>
        <v>Cerrado</v>
      </c>
      <c r="S358" s="12" t="s">
        <v>995</v>
      </c>
      <c r="T358" s="12"/>
    </row>
    <row r="359" spans="1:20" s="1" customFormat="1" x14ac:dyDescent="0.3">
      <c r="A359">
        <v>358</v>
      </c>
      <c r="B359" s="1" t="s">
        <v>1073</v>
      </c>
      <c r="C359" s="1" t="s">
        <v>550</v>
      </c>
      <c r="D359" s="117" t="s">
        <v>1011</v>
      </c>
      <c r="E359" s="70">
        <v>45995.94672453704</v>
      </c>
      <c r="F359" s="127" t="s">
        <v>1018</v>
      </c>
      <c r="G359" s="71">
        <v>70</v>
      </c>
      <c r="H359" s="71" t="s">
        <v>551</v>
      </c>
      <c r="I359" s="81">
        <v>0</v>
      </c>
      <c r="J359" s="71">
        <v>173.25</v>
      </c>
      <c r="K359" s="66" t="s">
        <v>989</v>
      </c>
      <c r="L359" s="73" t="s">
        <v>1010</v>
      </c>
      <c r="M359" s="73" t="s">
        <v>1010</v>
      </c>
      <c r="N359" s="74">
        <v>46031</v>
      </c>
      <c r="O359" s="74">
        <v>46063</v>
      </c>
      <c r="P359" s="74"/>
      <c r="Q359" s="1">
        <v>1447</v>
      </c>
      <c r="R359" t="str">
        <f t="shared" si="5"/>
        <v>Abierto</v>
      </c>
      <c r="S359" s="1" t="s">
        <v>994</v>
      </c>
    </row>
    <row r="360" spans="1:20" x14ac:dyDescent="0.3">
      <c r="A360">
        <v>359</v>
      </c>
      <c r="B360" s="11" t="s">
        <v>1073</v>
      </c>
      <c r="C360" s="11" t="s">
        <v>552</v>
      </c>
      <c r="D360" s="9" t="s">
        <v>1011</v>
      </c>
      <c r="E360" s="75">
        <v>45996.479317129633</v>
      </c>
      <c r="F360" s="130" t="s">
        <v>1044</v>
      </c>
      <c r="G360" s="76">
        <v>0</v>
      </c>
      <c r="H360" s="76">
        <v>0</v>
      </c>
      <c r="I360" s="89">
        <v>0</v>
      </c>
      <c r="J360" s="76">
        <v>0</v>
      </c>
      <c r="K360" s="66" t="s">
        <v>989</v>
      </c>
      <c r="L360" s="78" t="s">
        <v>1009</v>
      </c>
      <c r="M360" s="78" t="s">
        <v>1009</v>
      </c>
      <c r="N360" s="79"/>
      <c r="O360" s="79"/>
      <c r="P360" s="79"/>
      <c r="Q360" s="11"/>
      <c r="R360" t="str">
        <f t="shared" si="5"/>
        <v>Cerrado</v>
      </c>
      <c r="S360" s="11" t="s">
        <v>993</v>
      </c>
      <c r="T360" s="11"/>
    </row>
    <row r="361" spans="1:20" x14ac:dyDescent="0.3">
      <c r="A361">
        <v>360</v>
      </c>
      <c r="B361" s="28" t="s">
        <v>1073</v>
      </c>
      <c r="C361" s="28" t="s">
        <v>553</v>
      </c>
      <c r="D361" s="90" t="s">
        <v>554</v>
      </c>
      <c r="E361" s="91">
        <v>45996.555775462963</v>
      </c>
      <c r="F361" s="133" t="s">
        <v>1016</v>
      </c>
      <c r="G361" s="92">
        <v>80</v>
      </c>
      <c r="H361" s="92">
        <v>25</v>
      </c>
      <c r="I361" s="100">
        <v>0</v>
      </c>
      <c r="J361" s="92">
        <v>25</v>
      </c>
      <c r="K361" s="66" t="s">
        <v>989</v>
      </c>
      <c r="L361" s="93" t="s">
        <v>1009</v>
      </c>
      <c r="M361" s="93" t="s">
        <v>1010</v>
      </c>
      <c r="N361" s="94"/>
      <c r="O361" s="94"/>
      <c r="P361" s="94"/>
      <c r="Q361" s="28"/>
      <c r="R361" t="str">
        <f t="shared" si="5"/>
        <v>Abierto</v>
      </c>
      <c r="S361" s="28" t="s">
        <v>997</v>
      </c>
      <c r="T361" s="28"/>
    </row>
    <row r="362" spans="1:20" x14ac:dyDescent="0.3">
      <c r="A362">
        <v>361</v>
      </c>
      <c r="B362" s="28" t="s">
        <v>1073</v>
      </c>
      <c r="C362" s="28" t="s">
        <v>555</v>
      </c>
      <c r="D362" s="90" t="s">
        <v>556</v>
      </c>
      <c r="E362" s="91">
        <v>45997.376250000001</v>
      </c>
      <c r="F362" s="133" t="s">
        <v>1016</v>
      </c>
      <c r="G362" s="92">
        <v>80</v>
      </c>
      <c r="H362" s="92">
        <v>0</v>
      </c>
      <c r="I362" s="100">
        <v>0</v>
      </c>
      <c r="J362" s="92">
        <v>0</v>
      </c>
      <c r="K362" s="66" t="s">
        <v>989</v>
      </c>
      <c r="L362" s="93" t="s">
        <v>1009</v>
      </c>
      <c r="M362" s="93" t="s">
        <v>1009</v>
      </c>
      <c r="N362" s="94"/>
      <c r="O362" s="94"/>
      <c r="P362" s="94"/>
      <c r="Q362" s="28"/>
      <c r="R362" t="str">
        <f t="shared" si="5"/>
        <v>Abierto</v>
      </c>
      <c r="S362" s="28" t="s">
        <v>997</v>
      </c>
      <c r="T362" s="28"/>
    </row>
    <row r="363" spans="1:20" x14ac:dyDescent="0.3">
      <c r="A363">
        <v>362</v>
      </c>
      <c r="B363" t="s">
        <v>1071</v>
      </c>
      <c r="C363" t="s">
        <v>557</v>
      </c>
      <c r="D363" s="6" t="s">
        <v>558</v>
      </c>
      <c r="E363" s="49">
        <v>45997.555717592593</v>
      </c>
      <c r="F363" s="132" t="s">
        <v>1016</v>
      </c>
      <c r="G363" s="44">
        <v>0</v>
      </c>
      <c r="H363" s="44">
        <v>7300</v>
      </c>
      <c r="I363" s="20">
        <v>0</v>
      </c>
      <c r="J363" s="44">
        <v>7300</v>
      </c>
      <c r="K363" s="66" t="s">
        <v>989</v>
      </c>
      <c r="L363" s="7" t="s">
        <v>1010</v>
      </c>
      <c r="M363" s="7" t="s">
        <v>1010</v>
      </c>
      <c r="R363" t="str">
        <f t="shared" si="5"/>
        <v>Abierto</v>
      </c>
      <c r="S363" t="s">
        <v>996</v>
      </c>
    </row>
    <row r="364" spans="1:20" x14ac:dyDescent="0.3">
      <c r="A364">
        <v>363</v>
      </c>
      <c r="B364" s="28" t="s">
        <v>1073</v>
      </c>
      <c r="C364" s="28" t="s">
        <v>559</v>
      </c>
      <c r="D364" s="90" t="s">
        <v>560</v>
      </c>
      <c r="E364" s="91">
        <v>45999.005567129629</v>
      </c>
      <c r="F364" s="133" t="s">
        <v>1049</v>
      </c>
      <c r="G364" s="92">
        <v>80</v>
      </c>
      <c r="H364" s="92">
        <v>930</v>
      </c>
      <c r="I364" s="100">
        <v>0</v>
      </c>
      <c r="J364" s="92">
        <v>930</v>
      </c>
      <c r="K364" s="66" t="s">
        <v>989</v>
      </c>
      <c r="L364" s="93" t="s">
        <v>1010</v>
      </c>
      <c r="M364" s="93" t="s">
        <v>1010</v>
      </c>
      <c r="N364" s="94"/>
      <c r="O364" s="94"/>
      <c r="P364" s="94"/>
      <c r="Q364" s="28"/>
      <c r="R364" t="str">
        <f t="shared" si="5"/>
        <v>Abierto</v>
      </c>
      <c r="S364" s="28" t="s">
        <v>997</v>
      </c>
      <c r="T364" s="28"/>
    </row>
    <row r="365" spans="1:20" x14ac:dyDescent="0.3">
      <c r="A365">
        <v>364</v>
      </c>
      <c r="B365" s="28" t="s">
        <v>1073</v>
      </c>
      <c r="C365" s="28" t="s">
        <v>561</v>
      </c>
      <c r="D365" s="90" t="s">
        <v>562</v>
      </c>
      <c r="E365" s="91">
        <v>45999.005567129629</v>
      </c>
      <c r="F365" s="133" t="s">
        <v>1016</v>
      </c>
      <c r="G365" s="92">
        <v>80</v>
      </c>
      <c r="H365" s="92">
        <v>25</v>
      </c>
      <c r="I365" s="100">
        <v>0</v>
      </c>
      <c r="J365" s="92">
        <v>25</v>
      </c>
      <c r="K365" s="66" t="s">
        <v>989</v>
      </c>
      <c r="L365" s="93" t="s">
        <v>1009</v>
      </c>
      <c r="M365" s="93" t="s">
        <v>1010</v>
      </c>
      <c r="N365" s="94"/>
      <c r="O365" s="94"/>
      <c r="P365" s="94"/>
      <c r="Q365" s="28"/>
      <c r="R365" t="str">
        <f t="shared" si="5"/>
        <v>Abierto</v>
      </c>
      <c r="S365" s="28" t="s">
        <v>997</v>
      </c>
      <c r="T365" s="28"/>
    </row>
    <row r="366" spans="1:20" x14ac:dyDescent="0.3">
      <c r="A366">
        <v>365</v>
      </c>
      <c r="B366" s="28" t="s">
        <v>1073</v>
      </c>
      <c r="C366" s="28" t="s">
        <v>563</v>
      </c>
      <c r="D366" s="90" t="s">
        <v>564</v>
      </c>
      <c r="E366" s="91">
        <v>45999.652962962973</v>
      </c>
      <c r="F366" s="133" t="s">
        <v>1018</v>
      </c>
      <c r="G366" s="92">
        <v>70</v>
      </c>
      <c r="H366" s="92">
        <v>98.25</v>
      </c>
      <c r="I366" s="100">
        <v>0</v>
      </c>
      <c r="J366" s="92">
        <v>98.25</v>
      </c>
      <c r="K366" s="66" t="s">
        <v>989</v>
      </c>
      <c r="L366" s="93" t="s">
        <v>1010</v>
      </c>
      <c r="M366" s="93" t="s">
        <v>1010</v>
      </c>
      <c r="N366" s="94"/>
      <c r="O366" s="94"/>
      <c r="P366" s="94"/>
      <c r="Q366" s="28"/>
      <c r="R366" t="str">
        <f t="shared" si="5"/>
        <v>Abierto</v>
      </c>
      <c r="S366" s="28" t="s">
        <v>997</v>
      </c>
      <c r="T366" s="28"/>
    </row>
    <row r="367" spans="1:20" x14ac:dyDescent="0.3">
      <c r="A367">
        <v>366</v>
      </c>
      <c r="B367" s="28" t="s">
        <v>1073</v>
      </c>
      <c r="C367" s="28" t="s">
        <v>565</v>
      </c>
      <c r="D367" s="90" t="s">
        <v>566</v>
      </c>
      <c r="E367" s="91">
        <v>46000</v>
      </c>
      <c r="F367" s="133" t="s">
        <v>1016</v>
      </c>
      <c r="G367" s="92">
        <v>80</v>
      </c>
      <c r="H367" s="92">
        <v>199</v>
      </c>
      <c r="I367" s="100">
        <v>0</v>
      </c>
      <c r="J367" s="92">
        <v>199</v>
      </c>
      <c r="K367" s="66" t="s">
        <v>989</v>
      </c>
      <c r="L367" s="93" t="s">
        <v>1010</v>
      </c>
      <c r="M367" s="93" t="s">
        <v>1010</v>
      </c>
      <c r="N367" s="94"/>
      <c r="O367" s="94"/>
      <c r="P367" s="94"/>
      <c r="Q367" s="28"/>
      <c r="R367" t="str">
        <f t="shared" si="5"/>
        <v>Abierto</v>
      </c>
      <c r="S367" s="28" t="s">
        <v>997</v>
      </c>
      <c r="T367" s="28"/>
    </row>
    <row r="368" spans="1:20" s="1" customFormat="1" x14ac:dyDescent="0.3">
      <c r="A368">
        <v>367</v>
      </c>
      <c r="B368" s="28" t="s">
        <v>1073</v>
      </c>
      <c r="C368" s="28" t="s">
        <v>567</v>
      </c>
      <c r="D368" s="90" t="s">
        <v>568</v>
      </c>
      <c r="E368" s="91">
        <v>46000.411597222221</v>
      </c>
      <c r="F368" s="133" t="s">
        <v>1016</v>
      </c>
      <c r="G368" s="92">
        <v>80</v>
      </c>
      <c r="H368" s="92">
        <v>122</v>
      </c>
      <c r="I368" s="100">
        <v>0</v>
      </c>
      <c r="J368" s="92">
        <v>122</v>
      </c>
      <c r="K368" s="66" t="s">
        <v>989</v>
      </c>
      <c r="L368" s="93" t="s">
        <v>1010</v>
      </c>
      <c r="M368" s="93" t="s">
        <v>1010</v>
      </c>
      <c r="N368" s="94"/>
      <c r="O368" s="94"/>
      <c r="P368" s="94"/>
      <c r="Q368" s="28"/>
      <c r="R368" t="str">
        <f t="shared" si="5"/>
        <v>Abierto</v>
      </c>
      <c r="S368" s="28" t="s">
        <v>997</v>
      </c>
      <c r="T368" s="28"/>
    </row>
    <row r="369" spans="1:20" s="11" customFormat="1" x14ac:dyDescent="0.3">
      <c r="A369">
        <v>368</v>
      </c>
      <c r="B369" s="1" t="s">
        <v>1073</v>
      </c>
      <c r="C369" s="1" t="s">
        <v>569</v>
      </c>
      <c r="D369" s="41" t="s">
        <v>570</v>
      </c>
      <c r="E369" s="70">
        <v>46000.450370370367</v>
      </c>
      <c r="F369" s="127" t="s">
        <v>1018</v>
      </c>
      <c r="G369" s="71">
        <v>70</v>
      </c>
      <c r="H369" s="71">
        <v>25</v>
      </c>
      <c r="I369" s="81">
        <v>0</v>
      </c>
      <c r="J369" s="71">
        <v>25</v>
      </c>
      <c r="K369" s="66" t="s">
        <v>989</v>
      </c>
      <c r="L369" s="73" t="s">
        <v>1009</v>
      </c>
      <c r="M369" s="73" t="s">
        <v>1009</v>
      </c>
      <c r="N369" s="74">
        <v>46031</v>
      </c>
      <c r="O369" s="74">
        <v>46063</v>
      </c>
      <c r="P369" s="74"/>
      <c r="Q369" s="1">
        <v>1450</v>
      </c>
      <c r="R369" t="str">
        <f t="shared" si="5"/>
        <v>Abierto</v>
      </c>
      <c r="S369" s="1" t="s">
        <v>994</v>
      </c>
      <c r="T369" s="1"/>
    </row>
    <row r="370" spans="1:20" s="1" customFormat="1" x14ac:dyDescent="0.3">
      <c r="A370">
        <v>369</v>
      </c>
      <c r="B370" s="28" t="s">
        <v>1065</v>
      </c>
      <c r="C370" s="28" t="s">
        <v>571</v>
      </c>
      <c r="D370" s="90" t="s">
        <v>572</v>
      </c>
      <c r="E370" s="91">
        <v>46000.493842592587</v>
      </c>
      <c r="F370" s="133" t="s">
        <v>526</v>
      </c>
      <c r="G370" s="92">
        <v>80</v>
      </c>
      <c r="H370" s="92">
        <v>736</v>
      </c>
      <c r="I370" s="100">
        <v>0</v>
      </c>
      <c r="J370" s="92">
        <v>736</v>
      </c>
      <c r="K370" s="66" t="s">
        <v>989</v>
      </c>
      <c r="L370" s="93" t="s">
        <v>1010</v>
      </c>
      <c r="M370" s="93" t="s">
        <v>1010</v>
      </c>
      <c r="N370" s="94"/>
      <c r="O370" s="94"/>
      <c r="P370" s="94"/>
      <c r="Q370" s="28"/>
      <c r="R370" t="str">
        <f t="shared" si="5"/>
        <v>Abierto</v>
      </c>
      <c r="S370" s="28" t="s">
        <v>997</v>
      </c>
      <c r="T370" s="28"/>
    </row>
    <row r="371" spans="1:20" x14ac:dyDescent="0.3">
      <c r="A371">
        <v>370</v>
      </c>
      <c r="B371" s="28" t="s">
        <v>1073</v>
      </c>
      <c r="C371" s="28" t="s">
        <v>573</v>
      </c>
      <c r="D371" s="90" t="s">
        <v>574</v>
      </c>
      <c r="E371" s="91">
        <v>46001</v>
      </c>
      <c r="F371" s="133" t="s">
        <v>1018</v>
      </c>
      <c r="G371" s="92">
        <v>70</v>
      </c>
      <c r="H371" s="92">
        <v>423</v>
      </c>
      <c r="I371" s="100">
        <v>0</v>
      </c>
      <c r="J371" s="92">
        <v>423</v>
      </c>
      <c r="K371" s="66" t="s">
        <v>989</v>
      </c>
      <c r="L371" s="93" t="s">
        <v>1010</v>
      </c>
      <c r="M371" s="93" t="s">
        <v>1010</v>
      </c>
      <c r="N371" s="94"/>
      <c r="O371" s="94"/>
      <c r="P371" s="94"/>
      <c r="Q371" s="28"/>
      <c r="R371" t="str">
        <f t="shared" si="5"/>
        <v>Abierto</v>
      </c>
      <c r="S371" s="28" t="s">
        <v>997</v>
      </c>
      <c r="T371" s="28"/>
    </row>
    <row r="372" spans="1:20" x14ac:dyDescent="0.3">
      <c r="A372">
        <v>371</v>
      </c>
      <c r="B372" s="28" t="s">
        <v>1073</v>
      </c>
      <c r="C372" s="28" t="s">
        <v>575</v>
      </c>
      <c r="D372" s="90" t="s">
        <v>576</v>
      </c>
      <c r="E372" s="91">
        <v>46001</v>
      </c>
      <c r="F372" s="133" t="s">
        <v>1016</v>
      </c>
      <c r="G372" s="92">
        <v>80</v>
      </c>
      <c r="H372" s="92">
        <v>406</v>
      </c>
      <c r="I372" s="100">
        <v>0</v>
      </c>
      <c r="J372" s="92">
        <v>406</v>
      </c>
      <c r="K372" s="66" t="s">
        <v>989</v>
      </c>
      <c r="L372" s="93" t="s">
        <v>1010</v>
      </c>
      <c r="M372" s="93" t="s">
        <v>1010</v>
      </c>
      <c r="N372" s="94"/>
      <c r="O372" s="94"/>
      <c r="P372" s="94"/>
      <c r="Q372" s="28"/>
      <c r="R372" t="str">
        <f t="shared" si="5"/>
        <v>Abierto</v>
      </c>
      <c r="S372" s="28" t="s">
        <v>997</v>
      </c>
      <c r="T372" s="28"/>
    </row>
    <row r="373" spans="1:20" x14ac:dyDescent="0.3">
      <c r="A373">
        <v>372</v>
      </c>
      <c r="B373" s="28" t="s">
        <v>1073</v>
      </c>
      <c r="C373" s="28" t="s">
        <v>577</v>
      </c>
      <c r="D373" s="90" t="s">
        <v>578</v>
      </c>
      <c r="E373" s="91">
        <v>46001</v>
      </c>
      <c r="F373" s="133" t="s">
        <v>1016</v>
      </c>
      <c r="G373" s="92">
        <v>80</v>
      </c>
      <c r="H373" s="92">
        <v>319</v>
      </c>
      <c r="I373" s="100">
        <v>0</v>
      </c>
      <c r="J373" s="92">
        <v>319</v>
      </c>
      <c r="K373" s="66" t="s">
        <v>989</v>
      </c>
      <c r="L373" s="93" t="s">
        <v>1010</v>
      </c>
      <c r="M373" s="93" t="s">
        <v>1010</v>
      </c>
      <c r="N373" s="94"/>
      <c r="O373" s="94"/>
      <c r="P373" s="94"/>
      <c r="Q373" s="28"/>
      <c r="R373" t="str">
        <f t="shared" si="5"/>
        <v>Abierto</v>
      </c>
      <c r="S373" s="28" t="s">
        <v>997</v>
      </c>
      <c r="T373" s="28"/>
    </row>
    <row r="374" spans="1:20" x14ac:dyDescent="0.3">
      <c r="A374">
        <v>373</v>
      </c>
      <c r="B374" t="s">
        <v>1073</v>
      </c>
      <c r="C374" t="s">
        <v>579</v>
      </c>
      <c r="D374" s="6" t="s">
        <v>580</v>
      </c>
      <c r="E374" s="49">
        <v>46001</v>
      </c>
      <c r="F374" s="132" t="s">
        <v>1018</v>
      </c>
      <c r="G374" s="44">
        <v>70</v>
      </c>
      <c r="H374" s="44">
        <v>0</v>
      </c>
      <c r="I374" s="20">
        <v>0</v>
      </c>
      <c r="J374" s="44">
        <v>0</v>
      </c>
      <c r="K374" s="66" t="s">
        <v>989</v>
      </c>
      <c r="L374" s="7" t="s">
        <v>1009</v>
      </c>
      <c r="M374" s="7" t="s">
        <v>1009</v>
      </c>
      <c r="R374" t="str">
        <f t="shared" si="5"/>
        <v>Abierto</v>
      </c>
      <c r="S374" t="s">
        <v>996</v>
      </c>
    </row>
    <row r="375" spans="1:20" x14ac:dyDescent="0.3">
      <c r="A375">
        <v>374</v>
      </c>
      <c r="B375" s="28" t="s">
        <v>1061</v>
      </c>
      <c r="C375" s="28" t="s">
        <v>581</v>
      </c>
      <c r="D375" s="90" t="s">
        <v>582</v>
      </c>
      <c r="E375" s="91">
        <v>46002</v>
      </c>
      <c r="F375" s="133" t="s">
        <v>1018</v>
      </c>
      <c r="G375" s="92">
        <v>70</v>
      </c>
      <c r="H375" s="92">
        <v>98.25</v>
      </c>
      <c r="I375" s="100">
        <v>0</v>
      </c>
      <c r="J375" s="92">
        <v>98.25</v>
      </c>
      <c r="K375" s="66" t="s">
        <v>989</v>
      </c>
      <c r="L375" s="93" t="s">
        <v>1010</v>
      </c>
      <c r="M375" s="93" t="s">
        <v>1010</v>
      </c>
      <c r="N375" s="94"/>
      <c r="O375" s="94"/>
      <c r="P375" s="94"/>
      <c r="Q375" s="28"/>
      <c r="R375" t="str">
        <f t="shared" si="5"/>
        <v>Abierto</v>
      </c>
      <c r="S375" s="28" t="s">
        <v>997</v>
      </c>
      <c r="T375" s="28"/>
    </row>
    <row r="376" spans="1:20" x14ac:dyDescent="0.3">
      <c r="A376">
        <v>375</v>
      </c>
      <c r="B376" s="28" t="s">
        <v>1061</v>
      </c>
      <c r="C376" s="28" t="s">
        <v>583</v>
      </c>
      <c r="D376" s="90" t="s">
        <v>584</v>
      </c>
      <c r="E376" s="91">
        <v>46002</v>
      </c>
      <c r="F376" s="133" t="s">
        <v>1018</v>
      </c>
      <c r="G376" s="92">
        <v>70</v>
      </c>
      <c r="H376" s="92">
        <v>98.25</v>
      </c>
      <c r="I376" s="100">
        <v>0</v>
      </c>
      <c r="J376" s="92">
        <v>98.25</v>
      </c>
      <c r="K376" s="66" t="s">
        <v>989</v>
      </c>
      <c r="L376" s="93" t="s">
        <v>1010</v>
      </c>
      <c r="M376" s="93" t="s">
        <v>1010</v>
      </c>
      <c r="N376" s="94"/>
      <c r="O376" s="94"/>
      <c r="P376" s="94"/>
      <c r="Q376" s="28"/>
      <c r="R376" t="str">
        <f t="shared" si="5"/>
        <v>Abierto</v>
      </c>
      <c r="S376" s="28" t="s">
        <v>997</v>
      </c>
      <c r="T376" s="28"/>
    </row>
    <row r="377" spans="1:20" x14ac:dyDescent="0.3">
      <c r="A377">
        <v>376</v>
      </c>
      <c r="B377" s="106" t="s">
        <v>1073</v>
      </c>
      <c r="C377" s="106" t="s">
        <v>585</v>
      </c>
      <c r="D377" s="106" t="s">
        <v>586</v>
      </c>
      <c r="E377" s="107">
        <v>46003.490543981483</v>
      </c>
      <c r="F377" s="140" t="s">
        <v>1016</v>
      </c>
      <c r="G377" s="92">
        <v>80</v>
      </c>
      <c r="H377" s="92">
        <v>25</v>
      </c>
      <c r="I377" s="100">
        <v>0</v>
      </c>
      <c r="J377" s="92">
        <v>25</v>
      </c>
      <c r="K377" s="66" t="s">
        <v>989</v>
      </c>
      <c r="L377" s="93" t="s">
        <v>1009</v>
      </c>
      <c r="M377" s="93" t="s">
        <v>1010</v>
      </c>
      <c r="N377" s="94"/>
      <c r="O377" s="94"/>
      <c r="P377" s="94"/>
      <c r="Q377" s="28"/>
      <c r="R377" t="str">
        <f t="shared" si="5"/>
        <v>Abierto</v>
      </c>
      <c r="S377" s="28" t="s">
        <v>997</v>
      </c>
      <c r="T377" s="28"/>
    </row>
    <row r="378" spans="1:20" x14ac:dyDescent="0.3">
      <c r="A378">
        <v>377</v>
      </c>
      <c r="B378" s="106" t="s">
        <v>1061</v>
      </c>
      <c r="C378" s="106" t="s">
        <v>587</v>
      </c>
      <c r="D378" s="106" t="s">
        <v>588</v>
      </c>
      <c r="E378" s="107">
        <v>46003.496076388888</v>
      </c>
      <c r="F378" s="140" t="s">
        <v>1018</v>
      </c>
      <c r="G378" s="92">
        <v>70</v>
      </c>
      <c r="H378" s="92">
        <v>101.84</v>
      </c>
      <c r="I378" s="100">
        <v>0</v>
      </c>
      <c r="J378" s="92">
        <v>101.84</v>
      </c>
      <c r="K378" s="66" t="s">
        <v>989</v>
      </c>
      <c r="L378" s="93" t="s">
        <v>1010</v>
      </c>
      <c r="M378" s="93" t="s">
        <v>1010</v>
      </c>
      <c r="N378" s="94"/>
      <c r="O378" s="94"/>
      <c r="P378" s="94"/>
      <c r="Q378" s="28"/>
      <c r="R378" t="str">
        <f t="shared" si="5"/>
        <v>Abierto</v>
      </c>
      <c r="S378" s="28" t="s">
        <v>997</v>
      </c>
      <c r="T378" s="28"/>
    </row>
    <row r="379" spans="1:20" x14ac:dyDescent="0.3">
      <c r="A379">
        <v>378</v>
      </c>
      <c r="B379" s="108" t="s">
        <v>1074</v>
      </c>
      <c r="C379" s="108" t="s">
        <v>589</v>
      </c>
      <c r="D379" s="108" t="s">
        <v>590</v>
      </c>
      <c r="E379" s="109">
        <v>46003.660231481481</v>
      </c>
      <c r="F379" s="141" t="s">
        <v>526</v>
      </c>
      <c r="G379" s="76">
        <v>0</v>
      </c>
      <c r="H379" s="76">
        <v>0</v>
      </c>
      <c r="I379" s="89">
        <v>0</v>
      </c>
      <c r="J379" s="76">
        <v>0</v>
      </c>
      <c r="K379" s="66" t="s">
        <v>989</v>
      </c>
      <c r="L379" s="78" t="s">
        <v>1009</v>
      </c>
      <c r="M379" s="78" t="s">
        <v>1009</v>
      </c>
      <c r="N379" s="79"/>
      <c r="O379" s="79"/>
      <c r="P379" s="79"/>
      <c r="Q379" s="11"/>
      <c r="R379" t="str">
        <f t="shared" si="5"/>
        <v>Cerrado</v>
      </c>
      <c r="S379" s="11" t="s">
        <v>993</v>
      </c>
      <c r="T379" s="11"/>
    </row>
    <row r="380" spans="1:20" x14ac:dyDescent="0.3">
      <c r="A380">
        <v>379</v>
      </c>
      <c r="B380" s="106" t="s">
        <v>1073</v>
      </c>
      <c r="C380" s="106" t="s">
        <v>591</v>
      </c>
      <c r="D380" s="106" t="s">
        <v>592</v>
      </c>
      <c r="E380" s="107">
        <v>46004.372488425928</v>
      </c>
      <c r="F380" s="140" t="s">
        <v>1049</v>
      </c>
      <c r="G380" s="92">
        <v>80</v>
      </c>
      <c r="H380" s="92">
        <v>206</v>
      </c>
      <c r="I380" s="100">
        <v>0</v>
      </c>
      <c r="J380" s="92">
        <v>206</v>
      </c>
      <c r="K380" s="66" t="s">
        <v>989</v>
      </c>
      <c r="L380" s="93" t="s">
        <v>1010</v>
      </c>
      <c r="M380" s="93" t="s">
        <v>1010</v>
      </c>
      <c r="N380" s="94"/>
      <c r="O380" s="94"/>
      <c r="P380" s="94"/>
      <c r="Q380" s="28"/>
      <c r="R380" t="str">
        <f t="shared" si="5"/>
        <v>Abierto</v>
      </c>
      <c r="S380" s="28" t="s">
        <v>997</v>
      </c>
      <c r="T380" s="28"/>
    </row>
    <row r="381" spans="1:20" x14ac:dyDescent="0.3">
      <c r="A381">
        <v>380</v>
      </c>
      <c r="B381" s="14" t="s">
        <v>1059</v>
      </c>
      <c r="C381" s="110" t="s">
        <v>593</v>
      </c>
      <c r="D381" s="110" t="s">
        <v>594</v>
      </c>
      <c r="E381" s="111">
        <v>46004.433888888889</v>
      </c>
      <c r="F381" s="142" t="s">
        <v>1049</v>
      </c>
      <c r="G381" s="62">
        <v>80</v>
      </c>
      <c r="H381" s="62">
        <v>108</v>
      </c>
      <c r="I381" s="67">
        <v>0</v>
      </c>
      <c r="J381" s="62">
        <v>108</v>
      </c>
      <c r="K381" s="66" t="s">
        <v>989</v>
      </c>
      <c r="L381" s="64" t="s">
        <v>1009</v>
      </c>
      <c r="M381" s="64" t="s">
        <v>1010</v>
      </c>
      <c r="N381" s="65">
        <v>46031</v>
      </c>
      <c r="O381" s="65">
        <v>46063</v>
      </c>
      <c r="P381" s="65">
        <v>46049</v>
      </c>
      <c r="Q381" s="12">
        <v>1496</v>
      </c>
      <c r="R381" t="str">
        <f t="shared" si="5"/>
        <v>Cerrado</v>
      </c>
      <c r="S381" s="12" t="s">
        <v>995</v>
      </c>
      <c r="T381" s="12"/>
    </row>
    <row r="382" spans="1:20" x14ac:dyDescent="0.3">
      <c r="A382">
        <v>381</v>
      </c>
      <c r="B382" s="8" t="s">
        <v>1059</v>
      </c>
      <c r="C382" s="108" t="s">
        <v>595</v>
      </c>
      <c r="D382" s="108" t="s">
        <v>596</v>
      </c>
      <c r="E382" s="109">
        <v>46004.653796296298</v>
      </c>
      <c r="F382" s="141" t="s">
        <v>1016</v>
      </c>
      <c r="G382" s="76">
        <v>0</v>
      </c>
      <c r="H382" s="76">
        <v>0</v>
      </c>
      <c r="I382" s="89">
        <v>0</v>
      </c>
      <c r="J382" s="76">
        <v>0</v>
      </c>
      <c r="K382" s="66" t="s">
        <v>989</v>
      </c>
      <c r="L382" s="78" t="s">
        <v>1009</v>
      </c>
      <c r="M382" s="78" t="s">
        <v>1009</v>
      </c>
      <c r="N382" s="79"/>
      <c r="O382" s="79"/>
      <c r="P382" s="79"/>
      <c r="Q382" s="11"/>
      <c r="R382" t="str">
        <f t="shared" si="5"/>
        <v>Cerrado</v>
      </c>
      <c r="S382" s="11" t="s">
        <v>993</v>
      </c>
      <c r="T382" s="11"/>
    </row>
    <row r="383" spans="1:20" x14ac:dyDescent="0.3">
      <c r="A383">
        <v>382</v>
      </c>
      <c r="B383" s="112" t="s">
        <v>1073</v>
      </c>
      <c r="C383" s="112" t="s">
        <v>597</v>
      </c>
      <c r="D383" s="112" t="s">
        <v>598</v>
      </c>
      <c r="E383" s="113">
        <v>46004.661793981482</v>
      </c>
      <c r="F383" s="143" t="s">
        <v>1018</v>
      </c>
      <c r="G383" s="44">
        <v>70</v>
      </c>
      <c r="H383" s="44">
        <v>0</v>
      </c>
      <c r="I383" s="20">
        <v>0</v>
      </c>
      <c r="J383" s="44">
        <v>0</v>
      </c>
      <c r="K383" s="66" t="s">
        <v>989</v>
      </c>
      <c r="L383" s="7" t="s">
        <v>1009</v>
      </c>
      <c r="M383" s="7" t="s">
        <v>1009</v>
      </c>
      <c r="R383" t="str">
        <f t="shared" si="5"/>
        <v>Abierto</v>
      </c>
      <c r="S383" t="s">
        <v>996</v>
      </c>
    </row>
    <row r="384" spans="1:20" x14ac:dyDescent="0.3">
      <c r="A384">
        <v>383</v>
      </c>
      <c r="B384" s="106" t="s">
        <v>1073</v>
      </c>
      <c r="C384" s="106" t="s">
        <v>599</v>
      </c>
      <c r="D384" s="106" t="s">
        <v>600</v>
      </c>
      <c r="E384" s="107">
        <v>46005.312523148154</v>
      </c>
      <c r="F384" s="140" t="s">
        <v>1016</v>
      </c>
      <c r="G384" s="92">
        <v>80</v>
      </c>
      <c r="H384" s="92">
        <v>25</v>
      </c>
      <c r="I384" s="100">
        <v>0</v>
      </c>
      <c r="J384" s="92">
        <v>25</v>
      </c>
      <c r="K384" s="66" t="s">
        <v>989</v>
      </c>
      <c r="L384" s="93" t="s">
        <v>1009</v>
      </c>
      <c r="M384" s="93" t="s">
        <v>1010</v>
      </c>
      <c r="N384" s="94"/>
      <c r="O384" s="94"/>
      <c r="P384" s="94"/>
      <c r="Q384" s="28"/>
      <c r="R384" t="str">
        <f t="shared" si="5"/>
        <v>Abierto</v>
      </c>
      <c r="S384" s="28" t="s">
        <v>997</v>
      </c>
      <c r="T384" s="28"/>
    </row>
    <row r="385" spans="1:20" x14ac:dyDescent="0.3">
      <c r="A385">
        <v>384</v>
      </c>
      <c r="B385" s="106" t="s">
        <v>1073</v>
      </c>
      <c r="C385" s="106" t="s">
        <v>601</v>
      </c>
      <c r="D385" s="106" t="s">
        <v>602</v>
      </c>
      <c r="E385" s="107">
        <v>46005.477083333331</v>
      </c>
      <c r="F385" s="140" t="s">
        <v>1016</v>
      </c>
      <c r="G385" s="92">
        <v>80</v>
      </c>
      <c r="H385" s="92">
        <v>796</v>
      </c>
      <c r="I385" s="100">
        <v>0</v>
      </c>
      <c r="J385" s="92">
        <v>796</v>
      </c>
      <c r="K385" s="66" t="s">
        <v>989</v>
      </c>
      <c r="L385" s="93" t="s">
        <v>1010</v>
      </c>
      <c r="M385" s="93" t="s">
        <v>1010</v>
      </c>
      <c r="N385" s="94"/>
      <c r="O385" s="94"/>
      <c r="P385" s="94"/>
      <c r="Q385" s="28"/>
      <c r="R385" t="str">
        <f t="shared" si="5"/>
        <v>Abierto</v>
      </c>
      <c r="S385" s="28" t="s">
        <v>997</v>
      </c>
      <c r="T385" s="28"/>
    </row>
    <row r="386" spans="1:20" x14ac:dyDescent="0.3">
      <c r="A386">
        <v>385</v>
      </c>
      <c r="B386" s="105" t="s">
        <v>1061</v>
      </c>
      <c r="C386" s="105" t="s">
        <v>603</v>
      </c>
      <c r="D386" s="105" t="s">
        <v>604</v>
      </c>
      <c r="E386" s="114">
        <v>46005.486550925933</v>
      </c>
      <c r="F386" s="139" t="s">
        <v>1026</v>
      </c>
      <c r="G386" s="71">
        <v>80</v>
      </c>
      <c r="H386" s="71">
        <v>107</v>
      </c>
      <c r="I386" s="81">
        <v>0</v>
      </c>
      <c r="J386" s="71">
        <v>107</v>
      </c>
      <c r="K386" s="66" t="s">
        <v>989</v>
      </c>
      <c r="L386" s="73" t="s">
        <v>1010</v>
      </c>
      <c r="M386" s="73" t="s">
        <v>1010</v>
      </c>
      <c r="N386" s="74">
        <v>46035</v>
      </c>
      <c r="O386" s="74">
        <v>46050</v>
      </c>
      <c r="P386" s="74"/>
      <c r="Q386" s="1">
        <v>1473</v>
      </c>
      <c r="R386" t="str">
        <f t="shared" ref="R386:R449" si="6">IF(OR(S386="On Going", S386="Refacturado", S386="Para Refacturar"), "Abierto", IF(OR(S386="Cobrado", S386="No Fee"), "Cerrado", ""))</f>
        <v>Abierto</v>
      </c>
      <c r="S386" s="1" t="s">
        <v>994</v>
      </c>
      <c r="T386" s="1"/>
    </row>
    <row r="387" spans="1:20" x14ac:dyDescent="0.3">
      <c r="A387">
        <v>386</v>
      </c>
      <c r="B387" s="106" t="s">
        <v>1073</v>
      </c>
      <c r="C387" s="106" t="s">
        <v>605</v>
      </c>
      <c r="D387" s="106" t="s">
        <v>606</v>
      </c>
      <c r="E387" s="107">
        <v>46005.771331018521</v>
      </c>
      <c r="F387" s="140" t="s">
        <v>1018</v>
      </c>
      <c r="G387" s="92">
        <v>70</v>
      </c>
      <c r="H387" s="92">
        <v>0</v>
      </c>
      <c r="I387" s="100">
        <v>0</v>
      </c>
      <c r="J387" s="92">
        <v>0</v>
      </c>
      <c r="K387" s="66" t="s">
        <v>989</v>
      </c>
      <c r="L387" s="93" t="s">
        <v>1009</v>
      </c>
      <c r="M387" s="93" t="s">
        <v>1009</v>
      </c>
      <c r="N387" s="94"/>
      <c r="O387" s="94"/>
      <c r="P387" s="94"/>
      <c r="Q387" s="28"/>
      <c r="R387" t="str">
        <f t="shared" si="6"/>
        <v>Abierto</v>
      </c>
      <c r="S387" s="28" t="s">
        <v>997</v>
      </c>
      <c r="T387" s="28"/>
    </row>
    <row r="388" spans="1:20" x14ac:dyDescent="0.3">
      <c r="A388">
        <v>387</v>
      </c>
      <c r="B388" s="106" t="s">
        <v>1057</v>
      </c>
      <c r="C388" s="106" t="s">
        <v>607</v>
      </c>
      <c r="D388" s="106" t="s">
        <v>608</v>
      </c>
      <c r="E388" s="107">
        <v>46005.8906712963</v>
      </c>
      <c r="F388" s="140" t="s">
        <v>1018</v>
      </c>
      <c r="G388" s="92">
        <v>90</v>
      </c>
      <c r="H388" s="92">
        <v>102.98</v>
      </c>
      <c r="I388" s="100">
        <v>0</v>
      </c>
      <c r="J388" s="92">
        <v>102.98</v>
      </c>
      <c r="K388" s="66" t="s">
        <v>989</v>
      </c>
      <c r="L388" s="93" t="s">
        <v>1010</v>
      </c>
      <c r="M388" s="93" t="s">
        <v>1010</v>
      </c>
      <c r="N388" s="94"/>
      <c r="O388" s="94"/>
      <c r="P388" s="94"/>
      <c r="Q388" s="28"/>
      <c r="R388" t="str">
        <f t="shared" si="6"/>
        <v>Abierto</v>
      </c>
      <c r="S388" s="28" t="s">
        <v>997</v>
      </c>
      <c r="T388" s="28"/>
    </row>
    <row r="389" spans="1:20" x14ac:dyDescent="0.3">
      <c r="A389">
        <v>388</v>
      </c>
      <c r="B389" s="112" t="s">
        <v>1073</v>
      </c>
      <c r="C389" s="112" t="s">
        <v>609</v>
      </c>
      <c r="D389" s="112" t="s">
        <v>610</v>
      </c>
      <c r="E389" s="113">
        <v>46006.11614583333</v>
      </c>
      <c r="F389" s="143" t="s">
        <v>1016</v>
      </c>
      <c r="G389" s="44">
        <v>80</v>
      </c>
      <c r="H389" s="44">
        <v>0</v>
      </c>
      <c r="I389" s="20">
        <v>0</v>
      </c>
      <c r="J389" s="44">
        <v>0</v>
      </c>
      <c r="K389" s="66" t="s">
        <v>989</v>
      </c>
      <c r="L389" s="7" t="s">
        <v>1009</v>
      </c>
      <c r="M389" s="7" t="s">
        <v>1010</v>
      </c>
      <c r="R389" t="str">
        <f t="shared" si="6"/>
        <v>Abierto</v>
      </c>
      <c r="S389" t="s">
        <v>996</v>
      </c>
    </row>
    <row r="390" spans="1:20" x14ac:dyDescent="0.3">
      <c r="A390">
        <v>389</v>
      </c>
      <c r="B390" s="105" t="s">
        <v>1073</v>
      </c>
      <c r="C390" s="105" t="s">
        <v>611</v>
      </c>
      <c r="D390" s="105" t="s">
        <v>612</v>
      </c>
      <c r="E390" s="114">
        <v>46006.380474537043</v>
      </c>
      <c r="F390" s="139" t="s">
        <v>1018</v>
      </c>
      <c r="G390" s="71">
        <v>70</v>
      </c>
      <c r="H390" s="71">
        <v>0</v>
      </c>
      <c r="I390" s="81">
        <v>0</v>
      </c>
      <c r="J390" s="71">
        <v>0</v>
      </c>
      <c r="K390" s="66" t="s">
        <v>989</v>
      </c>
      <c r="L390" s="73" t="s">
        <v>1009</v>
      </c>
      <c r="M390" s="73" t="s">
        <v>1009</v>
      </c>
      <c r="N390" s="74">
        <v>46035</v>
      </c>
      <c r="O390" s="74">
        <v>46050</v>
      </c>
      <c r="P390" s="74"/>
      <c r="Q390" s="1">
        <v>1472</v>
      </c>
      <c r="R390" t="str">
        <f t="shared" si="6"/>
        <v>Abierto</v>
      </c>
      <c r="S390" s="1" t="s">
        <v>994</v>
      </c>
      <c r="T390" s="1"/>
    </row>
    <row r="391" spans="1:20" x14ac:dyDescent="0.3">
      <c r="A391">
        <v>390</v>
      </c>
      <c r="B391" s="105" t="s">
        <v>1073</v>
      </c>
      <c r="C391" s="105" t="s">
        <v>613</v>
      </c>
      <c r="D391" s="105" t="s">
        <v>614</v>
      </c>
      <c r="E391" s="114">
        <v>46006.466435185182</v>
      </c>
      <c r="F391" s="139" t="s">
        <v>1016</v>
      </c>
      <c r="G391" s="71">
        <v>80</v>
      </c>
      <c r="H391" s="71">
        <v>162</v>
      </c>
      <c r="I391" s="81">
        <v>0</v>
      </c>
      <c r="J391" s="71">
        <v>162</v>
      </c>
      <c r="K391" s="66" t="s">
        <v>989</v>
      </c>
      <c r="L391" s="73" t="s">
        <v>1010</v>
      </c>
      <c r="M391" s="73" t="s">
        <v>1010</v>
      </c>
      <c r="N391" s="74">
        <v>46035</v>
      </c>
      <c r="O391" s="74">
        <v>46050</v>
      </c>
      <c r="P391" s="74"/>
      <c r="Q391" s="1">
        <v>1474</v>
      </c>
      <c r="R391" t="str">
        <f t="shared" si="6"/>
        <v>Abierto</v>
      </c>
      <c r="S391" s="1" t="s">
        <v>994</v>
      </c>
      <c r="T391" s="1"/>
    </row>
    <row r="392" spans="1:20" x14ac:dyDescent="0.3">
      <c r="A392">
        <v>391</v>
      </c>
      <c r="B392" s="105" t="s">
        <v>1060</v>
      </c>
      <c r="C392" s="105" t="s">
        <v>615</v>
      </c>
      <c r="D392" s="105" t="s">
        <v>616</v>
      </c>
      <c r="E392" s="114">
        <v>46006.615277777782</v>
      </c>
      <c r="F392" s="139" t="s">
        <v>1018</v>
      </c>
      <c r="G392" s="71">
        <v>70</v>
      </c>
      <c r="H392" s="71" t="s">
        <v>617</v>
      </c>
      <c r="I392" s="81">
        <v>0</v>
      </c>
      <c r="J392" s="71" t="s">
        <v>617</v>
      </c>
      <c r="K392" s="66" t="s">
        <v>989</v>
      </c>
      <c r="L392" s="73" t="s">
        <v>1010</v>
      </c>
      <c r="M392" s="73" t="s">
        <v>1010</v>
      </c>
      <c r="N392" s="74">
        <v>46035</v>
      </c>
      <c r="O392" s="74">
        <v>46050</v>
      </c>
      <c r="P392" s="74"/>
      <c r="Q392" s="1">
        <v>1475</v>
      </c>
      <c r="R392" t="str">
        <f t="shared" si="6"/>
        <v>Abierto</v>
      </c>
      <c r="S392" s="1" t="s">
        <v>994</v>
      </c>
      <c r="T392" s="1"/>
    </row>
    <row r="393" spans="1:20" x14ac:dyDescent="0.3">
      <c r="A393">
        <v>392</v>
      </c>
      <c r="B393" s="112" t="s">
        <v>1073</v>
      </c>
      <c r="C393" s="112" t="s">
        <v>618</v>
      </c>
      <c r="D393" s="112" t="s">
        <v>619</v>
      </c>
      <c r="E393" s="113">
        <v>46007.502835648149</v>
      </c>
      <c r="F393" s="143" t="s">
        <v>1018</v>
      </c>
      <c r="G393" s="44">
        <v>70</v>
      </c>
      <c r="H393" s="44">
        <v>0</v>
      </c>
      <c r="I393" s="20">
        <v>0</v>
      </c>
      <c r="J393" s="44">
        <v>0</v>
      </c>
      <c r="K393" s="66" t="s">
        <v>989</v>
      </c>
      <c r="L393" s="7" t="s">
        <v>1009</v>
      </c>
      <c r="M393" s="7" t="s">
        <v>1009</v>
      </c>
      <c r="R393" t="str">
        <f t="shared" si="6"/>
        <v>Abierto</v>
      </c>
      <c r="S393" t="s">
        <v>996</v>
      </c>
    </row>
    <row r="394" spans="1:20" x14ac:dyDescent="0.3">
      <c r="A394">
        <v>393</v>
      </c>
      <c r="B394" s="112" t="s">
        <v>1073</v>
      </c>
      <c r="C394" s="112" t="s">
        <v>620</v>
      </c>
      <c r="D394" s="112" t="s">
        <v>621</v>
      </c>
      <c r="E394" s="113">
        <v>46007.588206018518</v>
      </c>
      <c r="F394" s="143" t="s">
        <v>1049</v>
      </c>
      <c r="G394" s="44">
        <v>80</v>
      </c>
      <c r="H394" s="44">
        <v>0</v>
      </c>
      <c r="I394" s="20">
        <v>0</v>
      </c>
      <c r="J394" s="44">
        <v>0</v>
      </c>
      <c r="K394" s="66" t="s">
        <v>989</v>
      </c>
      <c r="L394" s="7" t="s">
        <v>1010</v>
      </c>
      <c r="M394" s="7" t="s">
        <v>1009</v>
      </c>
      <c r="R394" t="str">
        <f t="shared" si="6"/>
        <v>Abierto</v>
      </c>
      <c r="S394" t="s">
        <v>996</v>
      </c>
    </row>
    <row r="395" spans="1:20" x14ac:dyDescent="0.3">
      <c r="A395">
        <v>394</v>
      </c>
      <c r="B395" s="112" t="s">
        <v>1073</v>
      </c>
      <c r="C395" s="112" t="s">
        <v>622</v>
      </c>
      <c r="D395" s="112" t="s">
        <v>623</v>
      </c>
      <c r="E395" s="113">
        <v>46007.597048611111</v>
      </c>
      <c r="F395" s="143" t="s">
        <v>1018</v>
      </c>
      <c r="G395" s="44">
        <v>70</v>
      </c>
      <c r="H395" s="44">
        <v>0</v>
      </c>
      <c r="I395" s="20">
        <v>0</v>
      </c>
      <c r="J395" s="44">
        <v>0</v>
      </c>
      <c r="K395" s="66" t="s">
        <v>989</v>
      </c>
      <c r="L395" s="7" t="s">
        <v>1009</v>
      </c>
      <c r="M395" s="7" t="s">
        <v>1009</v>
      </c>
      <c r="R395" t="str">
        <f t="shared" si="6"/>
        <v>Abierto</v>
      </c>
      <c r="S395" t="s">
        <v>996</v>
      </c>
    </row>
    <row r="396" spans="1:20" x14ac:dyDescent="0.3">
      <c r="A396">
        <v>395</v>
      </c>
      <c r="B396" s="105" t="s">
        <v>1073</v>
      </c>
      <c r="C396" s="105" t="s">
        <v>624</v>
      </c>
      <c r="D396" s="105" t="s">
        <v>625</v>
      </c>
      <c r="E396" s="114">
        <v>46007.711296296293</v>
      </c>
      <c r="F396" s="139" t="s">
        <v>1047</v>
      </c>
      <c r="G396" s="71">
        <v>80</v>
      </c>
      <c r="H396" s="71">
        <v>25</v>
      </c>
      <c r="I396" s="81">
        <v>0</v>
      </c>
      <c r="J396" s="71">
        <v>25</v>
      </c>
      <c r="K396" s="66" t="s">
        <v>989</v>
      </c>
      <c r="L396" s="73" t="s">
        <v>1009</v>
      </c>
      <c r="M396" s="73" t="s">
        <v>1010</v>
      </c>
      <c r="N396" s="74">
        <v>46035</v>
      </c>
      <c r="O396" s="74">
        <v>46050</v>
      </c>
      <c r="P396" s="74"/>
      <c r="Q396" s="1">
        <v>1476</v>
      </c>
      <c r="R396" t="str">
        <f t="shared" si="6"/>
        <v>Abierto</v>
      </c>
      <c r="S396" s="1" t="s">
        <v>994</v>
      </c>
      <c r="T396" s="1"/>
    </row>
    <row r="397" spans="1:20" s="11" customFormat="1" x14ac:dyDescent="0.3">
      <c r="A397">
        <v>396</v>
      </c>
      <c r="B397" s="105" t="s">
        <v>1073</v>
      </c>
      <c r="C397" s="105" t="s">
        <v>626</v>
      </c>
      <c r="D397" s="105" t="s">
        <v>627</v>
      </c>
      <c r="E397" s="114">
        <v>46008.364085648151</v>
      </c>
      <c r="F397" s="139" t="s">
        <v>1049</v>
      </c>
      <c r="G397" s="71">
        <v>80</v>
      </c>
      <c r="H397" s="71">
        <v>25</v>
      </c>
      <c r="I397" s="81">
        <v>0</v>
      </c>
      <c r="J397" s="71">
        <v>25</v>
      </c>
      <c r="K397" s="66" t="s">
        <v>989</v>
      </c>
      <c r="L397" s="73" t="s">
        <v>1009</v>
      </c>
      <c r="M397" s="73" t="s">
        <v>1010</v>
      </c>
      <c r="N397" s="74">
        <v>46035</v>
      </c>
      <c r="O397" s="74">
        <v>46050</v>
      </c>
      <c r="P397" s="74"/>
      <c r="Q397" s="1">
        <v>1477</v>
      </c>
      <c r="R397" t="str">
        <f t="shared" si="6"/>
        <v>Abierto</v>
      </c>
      <c r="S397" s="1" t="s">
        <v>994</v>
      </c>
      <c r="T397" s="1"/>
    </row>
    <row r="398" spans="1:20" s="12" customFormat="1" x14ac:dyDescent="0.3">
      <c r="A398">
        <v>397</v>
      </c>
      <c r="B398" s="110" t="s">
        <v>1073</v>
      </c>
      <c r="C398" s="110" t="s">
        <v>628</v>
      </c>
      <c r="D398" s="110" t="s">
        <v>629</v>
      </c>
      <c r="E398" s="111">
        <v>46008.384293981479</v>
      </c>
      <c r="F398" s="142" t="s">
        <v>1016</v>
      </c>
      <c r="G398" s="62">
        <v>80</v>
      </c>
      <c r="H398" s="62">
        <v>129</v>
      </c>
      <c r="I398" s="67">
        <v>0</v>
      </c>
      <c r="J398" s="62">
        <v>129</v>
      </c>
      <c r="K398" s="66" t="s">
        <v>989</v>
      </c>
      <c r="L398" s="64" t="s">
        <v>1010</v>
      </c>
      <c r="M398" s="64" t="s">
        <v>1010</v>
      </c>
      <c r="N398" s="65">
        <v>46035</v>
      </c>
      <c r="O398" s="65">
        <v>46050</v>
      </c>
      <c r="P398" s="65">
        <v>46042</v>
      </c>
      <c r="Q398" s="12">
        <v>1478</v>
      </c>
      <c r="R398" t="str">
        <f t="shared" si="6"/>
        <v>Cerrado</v>
      </c>
      <c r="S398" s="12" t="s">
        <v>995</v>
      </c>
    </row>
    <row r="399" spans="1:20" x14ac:dyDescent="0.3">
      <c r="A399">
        <v>398</v>
      </c>
      <c r="B399" s="112" t="s">
        <v>1073</v>
      </c>
      <c r="C399" s="112" t="s">
        <v>630</v>
      </c>
      <c r="D399" s="112" t="s">
        <v>631</v>
      </c>
      <c r="E399" s="113">
        <v>46008.651967592603</v>
      </c>
      <c r="F399" s="143" t="s">
        <v>1018</v>
      </c>
      <c r="G399" s="44">
        <v>70</v>
      </c>
      <c r="H399" s="44">
        <v>0</v>
      </c>
      <c r="I399" s="20">
        <v>0</v>
      </c>
      <c r="J399" s="44">
        <v>0</v>
      </c>
      <c r="K399" s="66" t="s">
        <v>989</v>
      </c>
      <c r="L399" s="7" t="s">
        <v>1009</v>
      </c>
      <c r="M399" s="7" t="s">
        <v>1009</v>
      </c>
      <c r="R399" t="str">
        <f t="shared" si="6"/>
        <v>Abierto</v>
      </c>
      <c r="S399" t="s">
        <v>996</v>
      </c>
    </row>
    <row r="400" spans="1:20" x14ac:dyDescent="0.3">
      <c r="A400">
        <v>399</v>
      </c>
      <c r="B400" s="105" t="s">
        <v>1073</v>
      </c>
      <c r="C400" s="105" t="s">
        <v>632</v>
      </c>
      <c r="D400" s="105" t="s">
        <v>633</v>
      </c>
      <c r="E400" s="114">
        <v>46008.673530092587</v>
      </c>
      <c r="F400" s="139" t="s">
        <v>1048</v>
      </c>
      <c r="G400" s="71">
        <v>80</v>
      </c>
      <c r="H400" s="71">
        <v>1064</v>
      </c>
      <c r="I400" s="81">
        <v>0</v>
      </c>
      <c r="J400" s="71">
        <v>1064</v>
      </c>
      <c r="K400" s="66" t="s">
        <v>989</v>
      </c>
      <c r="L400" s="73" t="s">
        <v>1010</v>
      </c>
      <c r="M400" s="73" t="s">
        <v>1010</v>
      </c>
      <c r="N400" s="74">
        <v>46035</v>
      </c>
      <c r="O400" s="74">
        <v>46050</v>
      </c>
      <c r="P400" s="74"/>
      <c r="Q400" s="1">
        <v>1480</v>
      </c>
      <c r="R400" t="str">
        <f t="shared" si="6"/>
        <v>Abierto</v>
      </c>
      <c r="S400" s="1" t="s">
        <v>994</v>
      </c>
      <c r="T400" s="1"/>
    </row>
    <row r="401" spans="1:20" x14ac:dyDescent="0.3">
      <c r="A401">
        <v>400</v>
      </c>
      <c r="B401" s="105" t="s">
        <v>1061</v>
      </c>
      <c r="C401" s="105" t="s">
        <v>634</v>
      </c>
      <c r="D401" s="105" t="s">
        <v>635</v>
      </c>
      <c r="E401" s="114">
        <v>46008.741747685177</v>
      </c>
      <c r="F401" s="139" t="s">
        <v>1045</v>
      </c>
      <c r="G401" s="71">
        <v>80</v>
      </c>
      <c r="H401" s="71" t="s">
        <v>636</v>
      </c>
      <c r="I401" s="81">
        <v>0</v>
      </c>
      <c r="J401" s="71" t="s">
        <v>636</v>
      </c>
      <c r="K401" s="66" t="s">
        <v>989</v>
      </c>
      <c r="L401" s="73" t="s">
        <v>1010</v>
      </c>
      <c r="M401" s="73" t="s">
        <v>1010</v>
      </c>
      <c r="N401" s="74">
        <v>46035</v>
      </c>
      <c r="O401" s="74">
        <v>46050</v>
      </c>
      <c r="P401" s="74"/>
      <c r="Q401" s="1">
        <v>1479</v>
      </c>
      <c r="R401" t="str">
        <f t="shared" si="6"/>
        <v>Abierto</v>
      </c>
      <c r="S401" s="1" t="s">
        <v>994</v>
      </c>
      <c r="T401" s="1"/>
    </row>
    <row r="402" spans="1:20" x14ac:dyDescent="0.3">
      <c r="A402">
        <v>401</v>
      </c>
      <c r="B402" s="105" t="s">
        <v>1073</v>
      </c>
      <c r="C402" s="105" t="s">
        <v>637</v>
      </c>
      <c r="D402" s="105" t="s">
        <v>638</v>
      </c>
      <c r="E402" s="114">
        <v>46008.84516203704</v>
      </c>
      <c r="F402" s="139" t="s">
        <v>1049</v>
      </c>
      <c r="G402" s="71">
        <v>80</v>
      </c>
      <c r="H402" s="71" t="s">
        <v>639</v>
      </c>
      <c r="I402" s="81">
        <v>0</v>
      </c>
      <c r="J402" s="71">
        <v>0</v>
      </c>
      <c r="K402" s="66" t="s">
        <v>989</v>
      </c>
      <c r="L402" s="73" t="s">
        <v>1009</v>
      </c>
      <c r="M402" s="73" t="s">
        <v>1010</v>
      </c>
      <c r="N402" s="74">
        <v>46031</v>
      </c>
      <c r="O402" s="74">
        <v>46046</v>
      </c>
      <c r="P402" s="74"/>
      <c r="Q402" s="1">
        <v>1471</v>
      </c>
      <c r="R402" t="str">
        <f t="shared" si="6"/>
        <v>Abierto</v>
      </c>
      <c r="S402" s="1" t="s">
        <v>994</v>
      </c>
      <c r="T402" s="1"/>
    </row>
    <row r="403" spans="1:20" x14ac:dyDescent="0.3">
      <c r="A403">
        <v>402</v>
      </c>
      <c r="B403" s="112" t="s">
        <v>1073</v>
      </c>
      <c r="C403" s="112" t="s">
        <v>640</v>
      </c>
      <c r="D403" s="112" t="s">
        <v>641</v>
      </c>
      <c r="E403" s="113">
        <v>46008.885381944441</v>
      </c>
      <c r="F403" s="143" t="s">
        <v>1018</v>
      </c>
      <c r="G403" s="44">
        <v>70</v>
      </c>
      <c r="H403" s="44">
        <v>0</v>
      </c>
      <c r="I403" s="20">
        <v>0</v>
      </c>
      <c r="J403" s="44">
        <v>0</v>
      </c>
      <c r="K403" s="66" t="s">
        <v>989</v>
      </c>
      <c r="L403" s="7" t="s">
        <v>1009</v>
      </c>
      <c r="M403" s="7" t="s">
        <v>1009</v>
      </c>
      <c r="R403" t="str">
        <f t="shared" si="6"/>
        <v>Abierto</v>
      </c>
      <c r="S403" t="s">
        <v>996</v>
      </c>
    </row>
    <row r="404" spans="1:20" x14ac:dyDescent="0.3">
      <c r="A404">
        <v>403</v>
      </c>
      <c r="B404" s="105" t="s">
        <v>1061</v>
      </c>
      <c r="C404" s="105" t="s">
        <v>642</v>
      </c>
      <c r="D404" s="105" t="s">
        <v>643</v>
      </c>
      <c r="E404" s="114">
        <v>46009.555138888893</v>
      </c>
      <c r="F404" s="139" t="s">
        <v>1045</v>
      </c>
      <c r="G404" s="71">
        <v>80</v>
      </c>
      <c r="H404" s="71">
        <v>0</v>
      </c>
      <c r="I404" s="81">
        <v>0</v>
      </c>
      <c r="J404" s="71">
        <v>0</v>
      </c>
      <c r="K404" s="66" t="s">
        <v>989</v>
      </c>
      <c r="L404" s="73" t="s">
        <v>1009</v>
      </c>
      <c r="M404" s="73" t="s">
        <v>1009</v>
      </c>
      <c r="N404" s="74">
        <v>46031</v>
      </c>
      <c r="O404" s="74">
        <v>46046</v>
      </c>
      <c r="P404" s="74"/>
      <c r="Q404" s="1">
        <v>1470</v>
      </c>
      <c r="R404" t="str">
        <f t="shared" si="6"/>
        <v>Abierto</v>
      </c>
      <c r="S404" s="1" t="s">
        <v>994</v>
      </c>
      <c r="T404" s="1"/>
    </row>
    <row r="405" spans="1:20" x14ac:dyDescent="0.3">
      <c r="A405">
        <v>404</v>
      </c>
      <c r="B405" s="112" t="s">
        <v>1073</v>
      </c>
      <c r="C405" s="112" t="s">
        <v>644</v>
      </c>
      <c r="D405" s="112" t="s">
        <v>645</v>
      </c>
      <c r="E405" s="113">
        <v>46009.560208333343</v>
      </c>
      <c r="F405" s="143" t="s">
        <v>1016</v>
      </c>
      <c r="G405" s="44">
        <v>80</v>
      </c>
      <c r="H405" s="44">
        <v>0</v>
      </c>
      <c r="I405" s="20">
        <v>0</v>
      </c>
      <c r="J405" s="44">
        <v>0</v>
      </c>
      <c r="K405" s="66" t="s">
        <v>989</v>
      </c>
      <c r="L405" s="7" t="s">
        <v>1009</v>
      </c>
      <c r="M405" s="7" t="s">
        <v>1009</v>
      </c>
      <c r="R405" t="str">
        <f t="shared" si="6"/>
        <v>Abierto</v>
      </c>
      <c r="S405" t="s">
        <v>996</v>
      </c>
    </row>
    <row r="406" spans="1:20" x14ac:dyDescent="0.3">
      <c r="A406">
        <v>405</v>
      </c>
      <c r="B406" s="108" t="s">
        <v>1073</v>
      </c>
      <c r="C406" s="108" t="s">
        <v>646</v>
      </c>
      <c r="D406" s="108" t="s">
        <v>647</v>
      </c>
      <c r="E406" s="109">
        <v>46009.606886574067</v>
      </c>
      <c r="F406" s="141" t="s">
        <v>1016</v>
      </c>
      <c r="G406" s="76">
        <v>0</v>
      </c>
      <c r="H406" s="76">
        <v>0</v>
      </c>
      <c r="I406" s="89">
        <v>0</v>
      </c>
      <c r="J406" s="76">
        <v>0</v>
      </c>
      <c r="K406" s="66" t="s">
        <v>989</v>
      </c>
      <c r="L406" s="78" t="s">
        <v>1009</v>
      </c>
      <c r="M406" s="78" t="s">
        <v>1009</v>
      </c>
      <c r="N406" s="79"/>
      <c r="O406" s="79"/>
      <c r="P406" s="79"/>
      <c r="Q406" s="11"/>
      <c r="R406" t="str">
        <f t="shared" si="6"/>
        <v>Cerrado</v>
      </c>
      <c r="S406" s="11" t="s">
        <v>993</v>
      </c>
      <c r="T406" s="11"/>
    </row>
    <row r="407" spans="1:20" x14ac:dyDescent="0.3">
      <c r="A407">
        <v>406</v>
      </c>
      <c r="B407" s="105" t="s">
        <v>1061</v>
      </c>
      <c r="C407" s="105" t="s">
        <v>648</v>
      </c>
      <c r="D407" s="105" t="s">
        <v>649</v>
      </c>
      <c r="E407" s="114">
        <v>46010.30572916667</v>
      </c>
      <c r="F407" s="139" t="s">
        <v>1045</v>
      </c>
      <c r="G407" s="71">
        <v>80</v>
      </c>
      <c r="H407" s="71">
        <v>0</v>
      </c>
      <c r="I407" s="81">
        <v>0</v>
      </c>
      <c r="J407" s="71">
        <v>0</v>
      </c>
      <c r="K407" s="66" t="s">
        <v>989</v>
      </c>
      <c r="L407" s="73" t="s">
        <v>1009</v>
      </c>
      <c r="M407" s="73" t="s">
        <v>1009</v>
      </c>
      <c r="N407" s="74">
        <v>46031</v>
      </c>
      <c r="O407" s="74">
        <v>46046</v>
      </c>
      <c r="P407" s="74"/>
      <c r="Q407" s="1">
        <v>1469</v>
      </c>
      <c r="R407" t="str">
        <f t="shared" si="6"/>
        <v>Abierto</v>
      </c>
      <c r="S407" s="1" t="s">
        <v>994</v>
      </c>
      <c r="T407" s="1"/>
    </row>
    <row r="408" spans="1:20" x14ac:dyDescent="0.3">
      <c r="A408">
        <v>407</v>
      </c>
      <c r="B408" s="105" t="s">
        <v>1073</v>
      </c>
      <c r="C408" s="105" t="s">
        <v>650</v>
      </c>
      <c r="D408" s="105" t="s">
        <v>651</v>
      </c>
      <c r="E408" s="114">
        <v>46010.371041666673</v>
      </c>
      <c r="F408" s="139" t="s">
        <v>1049</v>
      </c>
      <c r="G408" s="71">
        <v>80</v>
      </c>
      <c r="H408" s="71" t="s">
        <v>639</v>
      </c>
      <c r="I408" s="81">
        <v>0</v>
      </c>
      <c r="J408" s="71" t="s">
        <v>639</v>
      </c>
      <c r="K408" s="66" t="s">
        <v>989</v>
      </c>
      <c r="L408" s="73" t="s">
        <v>1009</v>
      </c>
      <c r="M408" s="73" t="s">
        <v>1010</v>
      </c>
      <c r="N408" s="74">
        <v>46031</v>
      </c>
      <c r="O408" s="74">
        <v>46046</v>
      </c>
      <c r="P408" s="74"/>
      <c r="Q408" s="1">
        <v>1468</v>
      </c>
      <c r="R408" t="str">
        <f t="shared" si="6"/>
        <v>Abierto</v>
      </c>
      <c r="S408" s="1" t="s">
        <v>994</v>
      </c>
      <c r="T408" s="1"/>
    </row>
    <row r="409" spans="1:20" s="1" customFormat="1" x14ac:dyDescent="0.3">
      <c r="A409">
        <v>408</v>
      </c>
      <c r="B409" s="105" t="s">
        <v>1073</v>
      </c>
      <c r="C409" s="105" t="s">
        <v>652</v>
      </c>
      <c r="D409" s="105" t="s">
        <v>653</v>
      </c>
      <c r="E409" s="114">
        <v>46010.455196759263</v>
      </c>
      <c r="F409" s="139" t="s">
        <v>526</v>
      </c>
      <c r="G409" s="71">
        <v>80</v>
      </c>
      <c r="H409" s="71">
        <v>25</v>
      </c>
      <c r="I409" s="81">
        <v>0</v>
      </c>
      <c r="J409" s="71">
        <v>25</v>
      </c>
      <c r="K409" s="66" t="s">
        <v>989</v>
      </c>
      <c r="L409" s="73" t="s">
        <v>1009</v>
      </c>
      <c r="M409" s="73" t="s">
        <v>1010</v>
      </c>
      <c r="N409" s="74">
        <v>46031</v>
      </c>
      <c r="O409" s="74">
        <v>46063</v>
      </c>
      <c r="P409" s="74"/>
      <c r="Q409" s="80" t="s">
        <v>654</v>
      </c>
      <c r="R409" t="str">
        <f t="shared" si="6"/>
        <v>Abierto</v>
      </c>
      <c r="S409" s="1" t="s">
        <v>994</v>
      </c>
    </row>
    <row r="410" spans="1:20" x14ac:dyDescent="0.3">
      <c r="A410">
        <v>409</v>
      </c>
      <c r="B410" s="106" t="s">
        <v>1061</v>
      </c>
      <c r="C410" s="106" t="s">
        <v>655</v>
      </c>
      <c r="D410" s="106" t="s">
        <v>656</v>
      </c>
      <c r="E410" s="107">
        <v>46011.332175925927</v>
      </c>
      <c r="F410" s="140" t="s">
        <v>1018</v>
      </c>
      <c r="G410" s="92">
        <v>70</v>
      </c>
      <c r="H410" s="92" t="s">
        <v>657</v>
      </c>
      <c r="I410" s="100">
        <v>0</v>
      </c>
      <c r="J410" s="92">
        <v>185.92</v>
      </c>
      <c r="K410" s="66" t="s">
        <v>989</v>
      </c>
      <c r="L410" s="93" t="s">
        <v>1010</v>
      </c>
      <c r="M410" s="93" t="s">
        <v>1010</v>
      </c>
      <c r="N410" s="94"/>
      <c r="O410" s="94"/>
      <c r="P410" s="94"/>
      <c r="Q410" s="28"/>
      <c r="R410" t="str">
        <f t="shared" si="6"/>
        <v>Abierto</v>
      </c>
      <c r="S410" s="28" t="s">
        <v>997</v>
      </c>
      <c r="T410" s="28"/>
    </row>
    <row r="411" spans="1:20" x14ac:dyDescent="0.3">
      <c r="A411">
        <v>410</v>
      </c>
      <c r="B411" s="106" t="s">
        <v>1073</v>
      </c>
      <c r="C411" s="106" t="s">
        <v>658</v>
      </c>
      <c r="D411" s="106" t="s">
        <v>659</v>
      </c>
      <c r="E411" s="107">
        <v>46011.50540509259</v>
      </c>
      <c r="F411" s="140" t="s">
        <v>1016</v>
      </c>
      <c r="G411" s="92">
        <v>80</v>
      </c>
      <c r="H411" s="92">
        <v>114</v>
      </c>
      <c r="I411" s="100">
        <v>0</v>
      </c>
      <c r="J411" s="92">
        <v>114</v>
      </c>
      <c r="K411" s="66" t="s">
        <v>989</v>
      </c>
      <c r="L411" s="93" t="s">
        <v>1010</v>
      </c>
      <c r="M411" s="93" t="s">
        <v>1010</v>
      </c>
      <c r="N411" s="94"/>
      <c r="O411" s="94"/>
      <c r="P411" s="94"/>
      <c r="Q411" s="28"/>
      <c r="R411" t="str">
        <f t="shared" si="6"/>
        <v>Abierto</v>
      </c>
      <c r="S411" s="28" t="s">
        <v>997</v>
      </c>
      <c r="T411" s="28"/>
    </row>
    <row r="412" spans="1:20" x14ac:dyDescent="0.3">
      <c r="A412">
        <v>411</v>
      </c>
      <c r="B412" s="112" t="s">
        <v>1073</v>
      </c>
      <c r="C412" s="112" t="s">
        <v>660</v>
      </c>
      <c r="D412" s="112" t="s">
        <v>661</v>
      </c>
      <c r="E412" s="113">
        <v>46012.279988425929</v>
      </c>
      <c r="F412" s="143" t="s">
        <v>1018</v>
      </c>
      <c r="G412" s="44">
        <v>70</v>
      </c>
      <c r="H412" s="44">
        <v>0</v>
      </c>
      <c r="I412" s="20">
        <v>0</v>
      </c>
      <c r="J412" s="44">
        <v>0</v>
      </c>
      <c r="K412" s="66" t="s">
        <v>989</v>
      </c>
      <c r="L412" s="7" t="s">
        <v>1009</v>
      </c>
      <c r="M412" s="7" t="s">
        <v>1009</v>
      </c>
      <c r="R412" t="str">
        <f t="shared" si="6"/>
        <v>Abierto</v>
      </c>
      <c r="S412" t="s">
        <v>996</v>
      </c>
    </row>
    <row r="413" spans="1:20" x14ac:dyDescent="0.3">
      <c r="A413">
        <v>412</v>
      </c>
      <c r="B413" s="8" t="s">
        <v>1059</v>
      </c>
      <c r="C413" s="108" t="s">
        <v>662</v>
      </c>
      <c r="D413" s="108" t="s">
        <v>596</v>
      </c>
      <c r="E413" s="109">
        <v>46012.62060185185</v>
      </c>
      <c r="F413" s="141" t="s">
        <v>1027</v>
      </c>
      <c r="G413" s="76">
        <v>0</v>
      </c>
      <c r="H413" s="76">
        <v>0</v>
      </c>
      <c r="I413" s="89">
        <v>0</v>
      </c>
      <c r="J413" s="76">
        <v>0</v>
      </c>
      <c r="K413" s="66" t="s">
        <v>989</v>
      </c>
      <c r="L413" s="78" t="s">
        <v>1009</v>
      </c>
      <c r="M413" s="78" t="s">
        <v>1009</v>
      </c>
      <c r="N413" s="79"/>
      <c r="O413" s="79"/>
      <c r="P413" s="79"/>
      <c r="Q413" s="11"/>
      <c r="R413" t="str">
        <f t="shared" si="6"/>
        <v>Cerrado</v>
      </c>
      <c r="S413" s="11" t="s">
        <v>993</v>
      </c>
      <c r="T413" s="11"/>
    </row>
    <row r="414" spans="1:20" s="1" customFormat="1" x14ac:dyDescent="0.3">
      <c r="A414">
        <v>413</v>
      </c>
      <c r="B414" s="105" t="s">
        <v>1057</v>
      </c>
      <c r="C414" s="105" t="s">
        <v>663</v>
      </c>
      <c r="D414" s="105">
        <v>3239960100</v>
      </c>
      <c r="E414" s="114">
        <v>46012.845810185187</v>
      </c>
      <c r="F414" s="139" t="s">
        <v>1049</v>
      </c>
      <c r="G414" s="71">
        <v>90</v>
      </c>
      <c r="H414" s="71">
        <v>290</v>
      </c>
      <c r="I414" s="81">
        <v>0</v>
      </c>
      <c r="J414" s="71">
        <v>290</v>
      </c>
      <c r="K414" s="66" t="s">
        <v>989</v>
      </c>
      <c r="L414" s="73" t="s">
        <v>1010</v>
      </c>
      <c r="M414" s="73" t="s">
        <v>1010</v>
      </c>
      <c r="N414" s="74">
        <v>46031</v>
      </c>
      <c r="O414" s="74">
        <v>46063</v>
      </c>
      <c r="P414" s="74"/>
      <c r="Q414" s="1">
        <v>1466</v>
      </c>
      <c r="R414" t="str">
        <f t="shared" si="6"/>
        <v>Abierto</v>
      </c>
      <c r="S414" s="1" t="s">
        <v>994</v>
      </c>
    </row>
    <row r="415" spans="1:20" x14ac:dyDescent="0.3">
      <c r="A415">
        <v>414</v>
      </c>
      <c r="B415" s="112" t="s">
        <v>1073</v>
      </c>
      <c r="C415" s="112" t="s">
        <v>664</v>
      </c>
      <c r="D415" s="112" t="s">
        <v>665</v>
      </c>
      <c r="E415" s="113">
        <v>46013.437592592592</v>
      </c>
      <c r="F415" s="143" t="s">
        <v>1048</v>
      </c>
      <c r="G415" s="44">
        <v>80</v>
      </c>
      <c r="H415" s="44">
        <v>0</v>
      </c>
      <c r="I415" s="20">
        <v>0</v>
      </c>
      <c r="J415" s="44">
        <v>0</v>
      </c>
      <c r="K415" s="66" t="s">
        <v>989</v>
      </c>
      <c r="L415" s="7" t="s">
        <v>1009</v>
      </c>
      <c r="M415" s="7" t="s">
        <v>1009</v>
      </c>
      <c r="R415" t="str">
        <f t="shared" si="6"/>
        <v>Abierto</v>
      </c>
      <c r="S415" t="s">
        <v>996</v>
      </c>
    </row>
    <row r="416" spans="1:20" s="12" customFormat="1" x14ac:dyDescent="0.3">
      <c r="A416">
        <v>415</v>
      </c>
      <c r="B416" s="110" t="s">
        <v>1074</v>
      </c>
      <c r="C416" s="110" t="s">
        <v>666</v>
      </c>
      <c r="D416" s="110" t="s">
        <v>667</v>
      </c>
      <c r="E416" s="111">
        <v>46013.505289351851</v>
      </c>
      <c r="F416" s="142" t="s">
        <v>1048</v>
      </c>
      <c r="G416" s="62">
        <v>80</v>
      </c>
      <c r="H416" s="62">
        <v>98</v>
      </c>
      <c r="I416" s="67">
        <v>0</v>
      </c>
      <c r="J416" s="62">
        <v>98</v>
      </c>
      <c r="K416" s="66" t="s">
        <v>989</v>
      </c>
      <c r="L416" s="64" t="s">
        <v>1010</v>
      </c>
      <c r="M416" s="64" t="s">
        <v>1010</v>
      </c>
      <c r="N416" s="65">
        <v>46031</v>
      </c>
      <c r="O416" s="65">
        <v>46063</v>
      </c>
      <c r="P416" s="65">
        <v>46030</v>
      </c>
      <c r="Q416" s="12">
        <v>1465</v>
      </c>
      <c r="R416" t="str">
        <f t="shared" si="6"/>
        <v>Cerrado</v>
      </c>
      <c r="S416" s="12" t="s">
        <v>995</v>
      </c>
    </row>
    <row r="417" spans="1:20" x14ac:dyDescent="0.3">
      <c r="A417">
        <v>416</v>
      </c>
      <c r="B417" s="108" t="s">
        <v>1076</v>
      </c>
      <c r="C417" s="108" t="s">
        <v>668</v>
      </c>
      <c r="D417" s="119" t="s">
        <v>1011</v>
      </c>
      <c r="E417" s="109">
        <v>46013.637303240743</v>
      </c>
      <c r="F417" s="141" t="s">
        <v>1045</v>
      </c>
      <c r="G417" s="76">
        <v>0</v>
      </c>
      <c r="H417" s="76">
        <v>0</v>
      </c>
      <c r="I417" s="89">
        <v>0</v>
      </c>
      <c r="J417" s="76">
        <v>0</v>
      </c>
      <c r="K417" s="66" t="s">
        <v>989</v>
      </c>
      <c r="L417" s="78" t="s">
        <v>1009</v>
      </c>
      <c r="M417" s="78" t="s">
        <v>1009</v>
      </c>
      <c r="N417" s="79"/>
      <c r="O417" s="79"/>
      <c r="P417" s="79"/>
      <c r="Q417" s="11"/>
      <c r="R417" t="str">
        <f t="shared" si="6"/>
        <v>Cerrado</v>
      </c>
      <c r="S417" s="11" t="s">
        <v>993</v>
      </c>
      <c r="T417" s="11"/>
    </row>
    <row r="418" spans="1:20" s="1" customFormat="1" x14ac:dyDescent="0.3">
      <c r="A418">
        <v>417</v>
      </c>
      <c r="B418" s="14" t="s">
        <v>1059</v>
      </c>
      <c r="C418" s="110" t="s">
        <v>669</v>
      </c>
      <c r="D418" s="110" t="s">
        <v>670</v>
      </c>
      <c r="E418" s="111">
        <v>46013.641527777778</v>
      </c>
      <c r="F418" s="142" t="s">
        <v>1049</v>
      </c>
      <c r="G418" s="62">
        <v>50</v>
      </c>
      <c r="H418" s="62">
        <v>0</v>
      </c>
      <c r="I418" s="67">
        <v>0</v>
      </c>
      <c r="J418" s="62">
        <v>0</v>
      </c>
      <c r="K418" s="66" t="s">
        <v>989</v>
      </c>
      <c r="L418" s="64" t="s">
        <v>1009</v>
      </c>
      <c r="M418" s="64" t="s">
        <v>1009</v>
      </c>
      <c r="N418" s="65">
        <v>46031</v>
      </c>
      <c r="O418" s="65">
        <v>46063</v>
      </c>
      <c r="P418" s="65">
        <v>46049</v>
      </c>
      <c r="Q418" s="12">
        <v>1464</v>
      </c>
      <c r="R418" t="str">
        <f t="shared" si="6"/>
        <v>Cerrado</v>
      </c>
      <c r="S418" s="12" t="s">
        <v>995</v>
      </c>
      <c r="T418" s="12"/>
    </row>
    <row r="419" spans="1:20" x14ac:dyDescent="0.3">
      <c r="A419">
        <v>418</v>
      </c>
      <c r="B419" s="108" t="s">
        <v>1057</v>
      </c>
      <c r="C419" s="108" t="s">
        <v>671</v>
      </c>
      <c r="D419" s="119" t="s">
        <v>1011</v>
      </c>
      <c r="E419" s="109">
        <v>46013.736585648148</v>
      </c>
      <c r="F419" s="141" t="s">
        <v>1030</v>
      </c>
      <c r="G419" s="76">
        <v>0</v>
      </c>
      <c r="H419" s="76">
        <v>0</v>
      </c>
      <c r="I419" s="89">
        <v>0</v>
      </c>
      <c r="J419" s="76">
        <v>0</v>
      </c>
      <c r="K419" s="66" t="s">
        <v>989</v>
      </c>
      <c r="L419" s="78" t="s">
        <v>1009</v>
      </c>
      <c r="M419" s="78" t="s">
        <v>1009</v>
      </c>
      <c r="N419" s="79"/>
      <c r="O419" s="79"/>
      <c r="P419" s="79"/>
      <c r="Q419" s="11"/>
      <c r="R419" t="str">
        <f t="shared" si="6"/>
        <v>Cerrado</v>
      </c>
      <c r="S419" s="11" t="s">
        <v>993</v>
      </c>
      <c r="T419" s="11"/>
    </row>
    <row r="420" spans="1:20" s="1" customFormat="1" x14ac:dyDescent="0.3">
      <c r="A420">
        <v>419</v>
      </c>
      <c r="B420" s="112" t="s">
        <v>1073</v>
      </c>
      <c r="C420" s="112" t="s">
        <v>672</v>
      </c>
      <c r="D420" s="112" t="s">
        <v>673</v>
      </c>
      <c r="E420" s="113">
        <v>46013.892800925933</v>
      </c>
      <c r="F420" s="143" t="s">
        <v>1016</v>
      </c>
      <c r="G420" s="44">
        <v>0</v>
      </c>
      <c r="H420" s="44">
        <v>71000</v>
      </c>
      <c r="I420" s="20">
        <v>0</v>
      </c>
      <c r="J420" s="44">
        <v>71000</v>
      </c>
      <c r="K420" s="66" t="s">
        <v>989</v>
      </c>
      <c r="L420" s="7" t="s">
        <v>1009</v>
      </c>
      <c r="M420" s="7" t="s">
        <v>1010</v>
      </c>
      <c r="N420" s="54"/>
      <c r="O420" s="54"/>
      <c r="P420" s="54"/>
      <c r="Q420"/>
      <c r="R420" t="str">
        <f t="shared" si="6"/>
        <v>Abierto</v>
      </c>
      <c r="S420" t="s">
        <v>996</v>
      </c>
      <c r="T420"/>
    </row>
    <row r="421" spans="1:20" x14ac:dyDescent="0.3">
      <c r="A421">
        <v>420</v>
      </c>
      <c r="B421" s="112" t="s">
        <v>1073</v>
      </c>
      <c r="C421" s="112" t="s">
        <v>674</v>
      </c>
      <c r="D421" s="112" t="s">
        <v>675</v>
      </c>
      <c r="E421" s="113">
        <v>46014.426805555559</v>
      </c>
      <c r="F421" s="143" t="s">
        <v>1018</v>
      </c>
      <c r="G421" s="44">
        <v>70</v>
      </c>
      <c r="H421" s="44">
        <v>0</v>
      </c>
      <c r="I421" s="20">
        <v>0</v>
      </c>
      <c r="J421" s="44">
        <v>0</v>
      </c>
      <c r="K421" s="66" t="s">
        <v>989</v>
      </c>
      <c r="L421" s="7" t="s">
        <v>1009</v>
      </c>
      <c r="M421" s="7" t="s">
        <v>1009</v>
      </c>
      <c r="R421" t="str">
        <f t="shared" si="6"/>
        <v>Abierto</v>
      </c>
      <c r="S421" t="s">
        <v>996</v>
      </c>
    </row>
    <row r="422" spans="1:20" s="12" customFormat="1" x14ac:dyDescent="0.3">
      <c r="A422">
        <v>421</v>
      </c>
      <c r="B422" s="110" t="s">
        <v>1073</v>
      </c>
      <c r="C422" s="110" t="s">
        <v>676</v>
      </c>
      <c r="D422" s="110" t="s">
        <v>677</v>
      </c>
      <c r="E422" s="111">
        <v>46014.581180555557</v>
      </c>
      <c r="F422" s="142" t="s">
        <v>526</v>
      </c>
      <c r="G422" s="62">
        <v>80</v>
      </c>
      <c r="H422" s="62">
        <v>0</v>
      </c>
      <c r="I422" s="67">
        <v>0</v>
      </c>
      <c r="J422" s="62">
        <v>0</v>
      </c>
      <c r="K422" s="66" t="s">
        <v>989</v>
      </c>
      <c r="L422" s="64" t="s">
        <v>1009</v>
      </c>
      <c r="M422" s="64" t="s">
        <v>1009</v>
      </c>
      <c r="N422" s="65">
        <v>46031</v>
      </c>
      <c r="O422" s="65">
        <v>46063</v>
      </c>
      <c r="P422" s="65">
        <v>46038</v>
      </c>
      <c r="Q422" s="12">
        <v>1463</v>
      </c>
      <c r="R422" t="str">
        <f t="shared" si="6"/>
        <v>Cerrado</v>
      </c>
      <c r="S422" s="12" t="s">
        <v>995</v>
      </c>
    </row>
    <row r="423" spans="1:20" x14ac:dyDescent="0.3">
      <c r="A423">
        <v>422</v>
      </c>
      <c r="B423" s="112" t="s">
        <v>1057</v>
      </c>
      <c r="C423" s="112" t="s">
        <v>678</v>
      </c>
      <c r="D423" s="112" t="s">
        <v>679</v>
      </c>
      <c r="E423" s="113">
        <v>46014.648159722223</v>
      </c>
      <c r="F423" s="143" t="s">
        <v>1015</v>
      </c>
      <c r="G423" s="44">
        <v>90</v>
      </c>
      <c r="H423" s="44">
        <v>0</v>
      </c>
      <c r="I423" s="20">
        <v>0</v>
      </c>
      <c r="J423" s="44">
        <v>0</v>
      </c>
      <c r="K423" s="66" t="s">
        <v>989</v>
      </c>
      <c r="L423" s="7" t="s">
        <v>1009</v>
      </c>
      <c r="M423" s="7" t="s">
        <v>1009</v>
      </c>
      <c r="R423" t="str">
        <f t="shared" si="6"/>
        <v>Abierto</v>
      </c>
      <c r="S423" t="s">
        <v>996</v>
      </c>
    </row>
    <row r="424" spans="1:20" s="1" customFormat="1" x14ac:dyDescent="0.3">
      <c r="A424">
        <v>423</v>
      </c>
      <c r="B424" s="106" t="s">
        <v>1073</v>
      </c>
      <c r="C424" s="106" t="s">
        <v>680</v>
      </c>
      <c r="D424" s="106" t="s">
        <v>681</v>
      </c>
      <c r="E424" s="107">
        <v>46015.536041666674</v>
      </c>
      <c r="F424" s="140" t="s">
        <v>1016</v>
      </c>
      <c r="G424" s="92">
        <v>80</v>
      </c>
      <c r="H424" s="92">
        <v>141</v>
      </c>
      <c r="I424" s="100">
        <v>0</v>
      </c>
      <c r="J424" s="92">
        <v>141</v>
      </c>
      <c r="K424" s="66" t="s">
        <v>989</v>
      </c>
      <c r="L424" s="93" t="s">
        <v>1010</v>
      </c>
      <c r="M424" s="93" t="s">
        <v>1010</v>
      </c>
      <c r="N424" s="94"/>
      <c r="O424" s="94"/>
      <c r="P424" s="94"/>
      <c r="Q424" s="28"/>
      <c r="R424" t="str">
        <f t="shared" si="6"/>
        <v>Abierto</v>
      </c>
      <c r="S424" s="28" t="s">
        <v>997</v>
      </c>
      <c r="T424" s="28"/>
    </row>
    <row r="425" spans="1:20" x14ac:dyDescent="0.3">
      <c r="A425">
        <v>424</v>
      </c>
      <c r="B425" s="108" t="s">
        <v>1057</v>
      </c>
      <c r="C425" s="108" t="s">
        <v>682</v>
      </c>
      <c r="D425" s="108" t="s">
        <v>683</v>
      </c>
      <c r="E425" s="109">
        <v>46015.565659722219</v>
      </c>
      <c r="F425" s="141" t="s">
        <v>1023</v>
      </c>
      <c r="G425" s="76">
        <v>0</v>
      </c>
      <c r="H425" s="76">
        <v>0</v>
      </c>
      <c r="I425" s="89">
        <v>0</v>
      </c>
      <c r="J425" s="76">
        <v>0</v>
      </c>
      <c r="K425" s="66" t="s">
        <v>989</v>
      </c>
      <c r="L425" s="78" t="s">
        <v>1009</v>
      </c>
      <c r="M425" s="78" t="s">
        <v>1009</v>
      </c>
      <c r="N425" s="79"/>
      <c r="O425" s="79"/>
      <c r="P425" s="79"/>
      <c r="Q425" s="11"/>
      <c r="R425" t="str">
        <f t="shared" si="6"/>
        <v>Cerrado</v>
      </c>
      <c r="S425" s="11" t="s">
        <v>993</v>
      </c>
      <c r="T425" s="11"/>
    </row>
    <row r="426" spans="1:20" x14ac:dyDescent="0.3">
      <c r="A426">
        <v>425</v>
      </c>
      <c r="B426" s="14" t="s">
        <v>1059</v>
      </c>
      <c r="C426" s="110" t="s">
        <v>684</v>
      </c>
      <c r="D426" s="110" t="s">
        <v>685</v>
      </c>
      <c r="E426" s="111">
        <v>46015.655763888892</v>
      </c>
      <c r="F426" s="142" t="s">
        <v>1018</v>
      </c>
      <c r="G426" s="62">
        <v>80</v>
      </c>
      <c r="H426" s="62">
        <v>0</v>
      </c>
      <c r="I426" s="67">
        <v>0</v>
      </c>
      <c r="J426" s="62">
        <v>0</v>
      </c>
      <c r="K426" s="66" t="s">
        <v>989</v>
      </c>
      <c r="L426" s="64" t="s">
        <v>1009</v>
      </c>
      <c r="M426" s="64" t="s">
        <v>1009</v>
      </c>
      <c r="N426" s="65">
        <v>46031</v>
      </c>
      <c r="O426" s="65">
        <v>46063</v>
      </c>
      <c r="P426" s="65">
        <v>46049</v>
      </c>
      <c r="Q426" s="12">
        <v>1497</v>
      </c>
      <c r="R426" t="str">
        <f t="shared" si="6"/>
        <v>Cerrado</v>
      </c>
      <c r="S426" s="12" t="s">
        <v>995</v>
      </c>
      <c r="T426" s="12"/>
    </row>
    <row r="427" spans="1:20" s="11" customFormat="1" x14ac:dyDescent="0.3">
      <c r="A427">
        <v>426</v>
      </c>
      <c r="B427" s="112" t="s">
        <v>1061</v>
      </c>
      <c r="C427" s="112" t="s">
        <v>686</v>
      </c>
      <c r="D427" s="112" t="s">
        <v>687</v>
      </c>
      <c r="E427" s="113">
        <v>46015.681296296287</v>
      </c>
      <c r="F427" s="143" t="s">
        <v>1045</v>
      </c>
      <c r="G427" s="44">
        <v>80</v>
      </c>
      <c r="H427" s="44">
        <v>0</v>
      </c>
      <c r="I427" s="20">
        <v>0</v>
      </c>
      <c r="J427" s="44">
        <v>0</v>
      </c>
      <c r="K427" s="66" t="s">
        <v>989</v>
      </c>
      <c r="L427" s="7" t="s">
        <v>1009</v>
      </c>
      <c r="M427" s="7" t="s">
        <v>1009</v>
      </c>
      <c r="N427" s="54"/>
      <c r="O427" s="54"/>
      <c r="P427" s="54"/>
      <c r="Q427"/>
      <c r="R427" t="str">
        <f t="shared" si="6"/>
        <v>Abierto</v>
      </c>
      <c r="S427" t="s">
        <v>996</v>
      </c>
      <c r="T427"/>
    </row>
    <row r="428" spans="1:20" x14ac:dyDescent="0.3">
      <c r="A428">
        <v>427</v>
      </c>
      <c r="B428" s="105" t="s">
        <v>1061</v>
      </c>
      <c r="C428" s="105" t="s">
        <v>688</v>
      </c>
      <c r="D428" s="105" t="s">
        <v>689</v>
      </c>
      <c r="E428" s="114">
        <v>46016.444004629629</v>
      </c>
      <c r="F428" s="139" t="s">
        <v>1049</v>
      </c>
      <c r="G428" s="71">
        <v>80</v>
      </c>
      <c r="H428" s="71">
        <v>152</v>
      </c>
      <c r="I428" s="81">
        <v>0</v>
      </c>
      <c r="J428" s="71">
        <v>152</v>
      </c>
      <c r="K428" s="66" t="s">
        <v>989</v>
      </c>
      <c r="L428" s="73" t="s">
        <v>1010</v>
      </c>
      <c r="M428" s="73" t="s">
        <v>1010</v>
      </c>
      <c r="N428" s="74">
        <v>46031</v>
      </c>
      <c r="O428" s="74">
        <v>46063</v>
      </c>
      <c r="P428" s="74"/>
      <c r="Q428" s="1">
        <v>1462</v>
      </c>
      <c r="R428" t="str">
        <f t="shared" si="6"/>
        <v>Abierto</v>
      </c>
      <c r="S428" s="1" t="s">
        <v>994</v>
      </c>
      <c r="T428" s="1"/>
    </row>
    <row r="429" spans="1:20" x14ac:dyDescent="0.3">
      <c r="A429">
        <v>428</v>
      </c>
      <c r="B429" s="112" t="s">
        <v>1073</v>
      </c>
      <c r="C429" s="112" t="s">
        <v>690</v>
      </c>
      <c r="D429" s="112" t="s">
        <v>691</v>
      </c>
      <c r="E429" s="113">
        <v>46016.517268518517</v>
      </c>
      <c r="F429" s="143" t="s">
        <v>1018</v>
      </c>
      <c r="G429" s="44">
        <v>70</v>
      </c>
      <c r="H429" s="44">
        <v>0</v>
      </c>
      <c r="I429" s="20">
        <v>0</v>
      </c>
      <c r="J429" s="44">
        <v>0</v>
      </c>
      <c r="K429" s="66" t="s">
        <v>989</v>
      </c>
      <c r="L429" s="7" t="s">
        <v>1009</v>
      </c>
      <c r="M429" s="7" t="s">
        <v>1009</v>
      </c>
      <c r="R429" t="str">
        <f t="shared" si="6"/>
        <v>Abierto</v>
      </c>
      <c r="S429" t="s">
        <v>996</v>
      </c>
    </row>
    <row r="430" spans="1:20" x14ac:dyDescent="0.3">
      <c r="A430">
        <v>429</v>
      </c>
      <c r="B430" s="108" t="s">
        <v>1073</v>
      </c>
      <c r="C430" s="108" t="s">
        <v>692</v>
      </c>
      <c r="D430" s="108" t="s">
        <v>693</v>
      </c>
      <c r="E430" s="109">
        <v>46016.546180555553</v>
      </c>
      <c r="F430" s="141" t="s">
        <v>1018</v>
      </c>
      <c r="G430" s="76">
        <v>0</v>
      </c>
      <c r="H430" s="76">
        <v>0</v>
      </c>
      <c r="I430" s="89">
        <v>0</v>
      </c>
      <c r="J430" s="76">
        <v>0</v>
      </c>
      <c r="K430" s="66" t="s">
        <v>989</v>
      </c>
      <c r="L430" s="78" t="s">
        <v>1009</v>
      </c>
      <c r="M430" s="78" t="s">
        <v>1009</v>
      </c>
      <c r="N430" s="79"/>
      <c r="O430" s="79"/>
      <c r="P430" s="79"/>
      <c r="Q430" s="11"/>
      <c r="R430" t="str">
        <f t="shared" si="6"/>
        <v>Cerrado</v>
      </c>
      <c r="S430" s="11" t="s">
        <v>993</v>
      </c>
      <c r="T430" s="11"/>
    </row>
    <row r="431" spans="1:20" x14ac:dyDescent="0.3">
      <c r="A431">
        <v>430</v>
      </c>
      <c r="B431" s="106" t="s">
        <v>1073</v>
      </c>
      <c r="C431" s="106" t="s">
        <v>694</v>
      </c>
      <c r="D431" s="106" t="s">
        <v>695</v>
      </c>
      <c r="E431" s="107">
        <v>46016.759699074071</v>
      </c>
      <c r="F431" s="140" t="s">
        <v>1018</v>
      </c>
      <c r="G431" s="92">
        <v>70</v>
      </c>
      <c r="H431" s="92">
        <v>236.45</v>
      </c>
      <c r="I431" s="100">
        <v>0</v>
      </c>
      <c r="J431" s="92">
        <v>236.45</v>
      </c>
      <c r="K431" s="66" t="s">
        <v>989</v>
      </c>
      <c r="L431" s="93" t="s">
        <v>1010</v>
      </c>
      <c r="M431" s="93" t="s">
        <v>1010</v>
      </c>
      <c r="N431" s="94"/>
      <c r="O431" s="94"/>
      <c r="P431" s="94"/>
      <c r="Q431" s="28"/>
      <c r="R431" t="str">
        <f t="shared" si="6"/>
        <v>Abierto</v>
      </c>
      <c r="S431" s="28" t="s">
        <v>997</v>
      </c>
      <c r="T431" s="28"/>
    </row>
    <row r="432" spans="1:20" x14ac:dyDescent="0.3">
      <c r="A432">
        <v>431</v>
      </c>
      <c r="B432" s="112" t="s">
        <v>1061</v>
      </c>
      <c r="C432" s="112" t="s">
        <v>696</v>
      </c>
      <c r="D432" s="112" t="s">
        <v>697</v>
      </c>
      <c r="E432" s="113">
        <v>46016.833171296297</v>
      </c>
      <c r="F432" s="143" t="s">
        <v>1019</v>
      </c>
      <c r="G432" s="44">
        <v>80</v>
      </c>
      <c r="H432" s="44">
        <v>0</v>
      </c>
      <c r="I432" s="20">
        <v>0</v>
      </c>
      <c r="J432" s="44">
        <v>0</v>
      </c>
      <c r="K432" s="66" t="s">
        <v>989</v>
      </c>
      <c r="L432" s="7" t="s">
        <v>1009</v>
      </c>
      <c r="M432" s="7" t="s">
        <v>1009</v>
      </c>
      <c r="R432" t="str">
        <f t="shared" si="6"/>
        <v>Abierto</v>
      </c>
      <c r="S432" t="s">
        <v>996</v>
      </c>
    </row>
    <row r="433" spans="1:20" x14ac:dyDescent="0.3">
      <c r="A433">
        <v>432</v>
      </c>
      <c r="B433" s="106" t="s">
        <v>1073</v>
      </c>
      <c r="C433" s="106" t="s">
        <v>698</v>
      </c>
      <c r="D433" s="106" t="s">
        <v>699</v>
      </c>
      <c r="E433" s="107">
        <v>46017.367326388892</v>
      </c>
      <c r="F433" s="140" t="s">
        <v>1018</v>
      </c>
      <c r="G433" s="92">
        <v>70</v>
      </c>
      <c r="H433" s="92">
        <v>98.25</v>
      </c>
      <c r="I433" s="100">
        <v>0</v>
      </c>
      <c r="J433" s="92">
        <v>98.25</v>
      </c>
      <c r="K433" s="66" t="s">
        <v>989</v>
      </c>
      <c r="L433" s="93" t="s">
        <v>1010</v>
      </c>
      <c r="M433" s="93" t="s">
        <v>1010</v>
      </c>
      <c r="N433" s="94"/>
      <c r="O433" s="94"/>
      <c r="P433" s="94"/>
      <c r="Q433" s="28"/>
      <c r="R433" t="str">
        <f t="shared" si="6"/>
        <v>Abierto</v>
      </c>
      <c r="S433" s="28" t="s">
        <v>997</v>
      </c>
      <c r="T433" s="28"/>
    </row>
    <row r="434" spans="1:20" x14ac:dyDescent="0.3">
      <c r="A434">
        <v>433</v>
      </c>
      <c r="B434" s="112" t="s">
        <v>1073</v>
      </c>
      <c r="C434" s="112" t="s">
        <v>700</v>
      </c>
      <c r="D434" s="112" t="s">
        <v>701</v>
      </c>
      <c r="E434" s="113">
        <v>46017.470625000002</v>
      </c>
      <c r="F434" s="143" t="s">
        <v>1016</v>
      </c>
      <c r="G434" s="44">
        <v>80</v>
      </c>
      <c r="H434" s="44">
        <v>0</v>
      </c>
      <c r="I434" s="20">
        <v>0</v>
      </c>
      <c r="J434" s="44">
        <v>0</v>
      </c>
      <c r="K434" s="66" t="s">
        <v>989</v>
      </c>
      <c r="L434" s="7" t="s">
        <v>1009</v>
      </c>
      <c r="M434" s="7" t="s">
        <v>1009</v>
      </c>
      <c r="R434" t="str">
        <f t="shared" si="6"/>
        <v>Abierto</v>
      </c>
      <c r="S434" t="s">
        <v>996</v>
      </c>
    </row>
    <row r="435" spans="1:20" x14ac:dyDescent="0.3">
      <c r="A435">
        <v>434</v>
      </c>
      <c r="B435" s="108" t="s">
        <v>1057</v>
      </c>
      <c r="C435" s="108" t="s">
        <v>702</v>
      </c>
      <c r="D435" s="119" t="s">
        <v>1011</v>
      </c>
      <c r="E435" s="109">
        <v>46017.478750000002</v>
      </c>
      <c r="F435" s="141" t="s">
        <v>1015</v>
      </c>
      <c r="G435" s="76">
        <v>0</v>
      </c>
      <c r="H435" s="76">
        <v>0</v>
      </c>
      <c r="I435" s="89">
        <v>0</v>
      </c>
      <c r="J435" s="76">
        <v>0</v>
      </c>
      <c r="K435" s="66" t="s">
        <v>989</v>
      </c>
      <c r="L435" s="78" t="s">
        <v>1009</v>
      </c>
      <c r="M435" s="78" t="s">
        <v>1009</v>
      </c>
      <c r="N435" s="79"/>
      <c r="O435" s="79"/>
      <c r="P435" s="79"/>
      <c r="Q435" s="11"/>
      <c r="R435" t="str">
        <f t="shared" si="6"/>
        <v>Cerrado</v>
      </c>
      <c r="S435" s="11" t="s">
        <v>993</v>
      </c>
      <c r="T435" s="11"/>
    </row>
    <row r="436" spans="1:20" x14ac:dyDescent="0.3">
      <c r="A436">
        <v>435</v>
      </c>
      <c r="B436" s="108" t="s">
        <v>1073</v>
      </c>
      <c r="C436" s="108" t="s">
        <v>703</v>
      </c>
      <c r="D436" s="108" t="s">
        <v>704</v>
      </c>
      <c r="E436" s="109">
        <v>46018.005462962959</v>
      </c>
      <c r="F436" s="141" t="s">
        <v>1016</v>
      </c>
      <c r="G436" s="76">
        <v>0</v>
      </c>
      <c r="H436" s="76">
        <v>0</v>
      </c>
      <c r="I436" s="89">
        <v>0</v>
      </c>
      <c r="J436" s="76">
        <v>0</v>
      </c>
      <c r="K436" s="66" t="s">
        <v>989</v>
      </c>
      <c r="L436" s="78" t="s">
        <v>1009</v>
      </c>
      <c r="M436" s="78" t="s">
        <v>1009</v>
      </c>
      <c r="N436" s="79"/>
      <c r="O436" s="79"/>
      <c r="P436" s="79"/>
      <c r="Q436" s="11"/>
      <c r="R436" t="str">
        <f t="shared" si="6"/>
        <v>Cerrado</v>
      </c>
      <c r="S436" s="11" t="s">
        <v>993</v>
      </c>
      <c r="T436" s="11"/>
    </row>
    <row r="437" spans="1:20" x14ac:dyDescent="0.3">
      <c r="A437">
        <v>436</v>
      </c>
      <c r="B437" s="2" t="s">
        <v>1069</v>
      </c>
      <c r="C437" s="108" t="s">
        <v>705</v>
      </c>
      <c r="D437" s="119" t="s">
        <v>1011</v>
      </c>
      <c r="E437" s="109">
        <v>46018.34951388889</v>
      </c>
      <c r="F437" s="141" t="s">
        <v>1016</v>
      </c>
      <c r="G437" s="76">
        <v>0</v>
      </c>
      <c r="H437" s="76">
        <v>0</v>
      </c>
      <c r="I437" s="89">
        <v>0</v>
      </c>
      <c r="J437" s="76">
        <v>0</v>
      </c>
      <c r="K437" s="66" t="s">
        <v>989</v>
      </c>
      <c r="L437" s="78" t="s">
        <v>1009</v>
      </c>
      <c r="M437" s="78" t="s">
        <v>1009</v>
      </c>
      <c r="N437" s="79"/>
      <c r="O437" s="79"/>
      <c r="P437" s="79"/>
      <c r="Q437" s="11"/>
      <c r="R437" t="str">
        <f t="shared" si="6"/>
        <v>Cerrado</v>
      </c>
      <c r="S437" s="11" t="s">
        <v>993</v>
      </c>
      <c r="T437" s="11"/>
    </row>
    <row r="438" spans="1:20" x14ac:dyDescent="0.3">
      <c r="A438">
        <v>437</v>
      </c>
      <c r="B438" s="106" t="s">
        <v>1073</v>
      </c>
      <c r="C438" s="106" t="s">
        <v>706</v>
      </c>
      <c r="D438" s="106" t="s">
        <v>707</v>
      </c>
      <c r="E438" s="107">
        <v>46018.491168981483</v>
      </c>
      <c r="F438" s="140" t="s">
        <v>1016</v>
      </c>
      <c r="G438" s="92">
        <v>80</v>
      </c>
      <c r="H438" s="92">
        <v>148</v>
      </c>
      <c r="I438" s="100">
        <v>0</v>
      </c>
      <c r="J438" s="92">
        <v>148</v>
      </c>
      <c r="K438" s="66" t="s">
        <v>989</v>
      </c>
      <c r="L438" s="93" t="s">
        <v>1010</v>
      </c>
      <c r="M438" s="93" t="s">
        <v>1010</v>
      </c>
      <c r="N438" s="94"/>
      <c r="O438" s="94"/>
      <c r="P438" s="94"/>
      <c r="Q438" s="28"/>
      <c r="R438" t="str">
        <f t="shared" si="6"/>
        <v>Abierto</v>
      </c>
      <c r="S438" s="28" t="s">
        <v>997</v>
      </c>
      <c r="T438" s="28"/>
    </row>
    <row r="439" spans="1:20" x14ac:dyDescent="0.3">
      <c r="A439">
        <v>438</v>
      </c>
      <c r="B439" s="108" t="s">
        <v>1061</v>
      </c>
      <c r="C439" s="108" t="s">
        <v>708</v>
      </c>
      <c r="D439" s="119" t="s">
        <v>1011</v>
      </c>
      <c r="E439" s="109">
        <v>46018.687199074076</v>
      </c>
      <c r="F439" s="141" t="s">
        <v>1045</v>
      </c>
      <c r="G439" s="76">
        <v>0</v>
      </c>
      <c r="H439" s="76">
        <v>0</v>
      </c>
      <c r="I439" s="89">
        <v>0</v>
      </c>
      <c r="J439" s="76">
        <v>0</v>
      </c>
      <c r="K439" s="66" t="s">
        <v>989</v>
      </c>
      <c r="L439" s="78" t="s">
        <v>1009</v>
      </c>
      <c r="M439" s="78" t="s">
        <v>1009</v>
      </c>
      <c r="N439" s="79"/>
      <c r="O439" s="79"/>
      <c r="P439" s="79"/>
      <c r="Q439" s="11"/>
      <c r="R439" t="str">
        <f t="shared" si="6"/>
        <v>Cerrado</v>
      </c>
      <c r="S439" s="11" t="s">
        <v>993</v>
      </c>
      <c r="T439" s="11"/>
    </row>
    <row r="440" spans="1:20" x14ac:dyDescent="0.3">
      <c r="A440">
        <v>439</v>
      </c>
      <c r="B440" s="106" t="s">
        <v>1073</v>
      </c>
      <c r="C440" s="106" t="s">
        <v>709</v>
      </c>
      <c r="D440" s="106" t="s">
        <v>710</v>
      </c>
      <c r="E440" s="107">
        <v>46018.750520833331</v>
      </c>
      <c r="F440" s="140" t="s">
        <v>1018</v>
      </c>
      <c r="G440" s="92">
        <v>70</v>
      </c>
      <c r="H440" s="92">
        <v>98.25</v>
      </c>
      <c r="I440" s="100">
        <v>0</v>
      </c>
      <c r="J440" s="92">
        <v>98.25</v>
      </c>
      <c r="K440" s="66" t="s">
        <v>989</v>
      </c>
      <c r="L440" s="93" t="s">
        <v>1010</v>
      </c>
      <c r="M440" s="93" t="s">
        <v>1010</v>
      </c>
      <c r="N440" s="94"/>
      <c r="O440" s="94"/>
      <c r="P440" s="94"/>
      <c r="Q440" s="28"/>
      <c r="R440" t="str">
        <f t="shared" si="6"/>
        <v>Abierto</v>
      </c>
      <c r="S440" s="28" t="s">
        <v>997</v>
      </c>
      <c r="T440" s="28"/>
    </row>
    <row r="441" spans="1:20" s="12" customFormat="1" x14ac:dyDescent="0.3">
      <c r="A441">
        <v>440</v>
      </c>
      <c r="B441" s="110" t="s">
        <v>1073</v>
      </c>
      <c r="C441" s="110" t="s">
        <v>711</v>
      </c>
      <c r="D441" s="110" t="s">
        <v>712</v>
      </c>
      <c r="E441" s="111">
        <v>46019.878425925926</v>
      </c>
      <c r="F441" s="142" t="s">
        <v>1018</v>
      </c>
      <c r="G441" s="62">
        <v>70</v>
      </c>
      <c r="H441" s="62">
        <v>0</v>
      </c>
      <c r="I441" s="67">
        <v>0</v>
      </c>
      <c r="J441" s="62">
        <v>0</v>
      </c>
      <c r="K441" s="66" t="s">
        <v>989</v>
      </c>
      <c r="L441" s="64" t="s">
        <v>1009</v>
      </c>
      <c r="M441" s="64" t="s">
        <v>1009</v>
      </c>
      <c r="N441" s="65">
        <v>46031</v>
      </c>
      <c r="O441" s="65">
        <v>46063</v>
      </c>
      <c r="P441" s="65">
        <v>46038</v>
      </c>
      <c r="Q441" s="12">
        <v>1461</v>
      </c>
      <c r="R441" t="str">
        <f t="shared" si="6"/>
        <v>Cerrado</v>
      </c>
      <c r="S441" s="12" t="s">
        <v>995</v>
      </c>
    </row>
    <row r="442" spans="1:20" x14ac:dyDescent="0.3">
      <c r="A442">
        <v>441</v>
      </c>
      <c r="B442" s="108" t="s">
        <v>1057</v>
      </c>
      <c r="C442" s="108" t="s">
        <v>713</v>
      </c>
      <c r="D442" s="119" t="s">
        <v>1011</v>
      </c>
      <c r="E442" s="109">
        <v>46019.940613425933</v>
      </c>
      <c r="F442" s="141" t="s">
        <v>1013</v>
      </c>
      <c r="G442" s="76">
        <v>0</v>
      </c>
      <c r="H442" s="76">
        <v>0</v>
      </c>
      <c r="I442" s="89">
        <v>0</v>
      </c>
      <c r="J442" s="76">
        <v>0</v>
      </c>
      <c r="K442" s="66" t="s">
        <v>989</v>
      </c>
      <c r="L442" s="78" t="s">
        <v>1009</v>
      </c>
      <c r="M442" s="78" t="s">
        <v>1009</v>
      </c>
      <c r="N442" s="79"/>
      <c r="O442" s="79"/>
      <c r="P442" s="79"/>
      <c r="Q442" s="11"/>
      <c r="R442" t="str">
        <f t="shared" si="6"/>
        <v>Cerrado</v>
      </c>
      <c r="S442" s="11" t="s">
        <v>993</v>
      </c>
      <c r="T442" s="11"/>
    </row>
    <row r="443" spans="1:20" x14ac:dyDescent="0.3">
      <c r="A443">
        <v>442</v>
      </c>
      <c r="B443" s="112" t="s">
        <v>1073</v>
      </c>
      <c r="C443" s="112" t="s">
        <v>714</v>
      </c>
      <c r="D443" s="112" t="s">
        <v>715</v>
      </c>
      <c r="E443" s="113">
        <v>46020.175578703696</v>
      </c>
      <c r="F443" s="143" t="s">
        <v>1018</v>
      </c>
      <c r="G443" s="44">
        <v>70</v>
      </c>
      <c r="H443" s="44">
        <v>0</v>
      </c>
      <c r="I443" s="20">
        <v>0</v>
      </c>
      <c r="J443" s="44">
        <v>0</v>
      </c>
      <c r="K443" s="66" t="s">
        <v>989</v>
      </c>
      <c r="L443" s="7" t="s">
        <v>1009</v>
      </c>
      <c r="M443" s="7" t="s">
        <v>1009</v>
      </c>
      <c r="R443" t="str">
        <f t="shared" si="6"/>
        <v>Abierto</v>
      </c>
      <c r="S443" t="s">
        <v>996</v>
      </c>
    </row>
    <row r="444" spans="1:20" ht="13.5" customHeight="1" x14ac:dyDescent="0.3">
      <c r="A444">
        <v>443</v>
      </c>
      <c r="B444" s="112" t="s">
        <v>1073</v>
      </c>
      <c r="C444" s="112" t="s">
        <v>716</v>
      </c>
      <c r="D444" s="112" t="s">
        <v>717</v>
      </c>
      <c r="E444" s="113">
        <v>46020.361875000002</v>
      </c>
      <c r="F444" s="143" t="s">
        <v>1018</v>
      </c>
      <c r="G444" s="44">
        <v>70</v>
      </c>
      <c r="H444" s="44">
        <v>0</v>
      </c>
      <c r="I444" s="20">
        <v>0</v>
      </c>
      <c r="J444" s="44">
        <v>0</v>
      </c>
      <c r="K444" s="66" t="s">
        <v>989</v>
      </c>
      <c r="L444" s="7" t="s">
        <v>1009</v>
      </c>
      <c r="M444" s="7" t="s">
        <v>1009</v>
      </c>
      <c r="R444" t="str">
        <f t="shared" si="6"/>
        <v>Abierto</v>
      </c>
      <c r="S444" t="s">
        <v>996</v>
      </c>
    </row>
    <row r="445" spans="1:20" s="1" customFormat="1" x14ac:dyDescent="0.3">
      <c r="A445">
        <v>444</v>
      </c>
      <c r="B445" s="105" t="s">
        <v>1073</v>
      </c>
      <c r="C445" s="105" t="s">
        <v>718</v>
      </c>
      <c r="D445" s="41" t="s">
        <v>719</v>
      </c>
      <c r="E445" s="114">
        <v>46020.592268518521</v>
      </c>
      <c r="F445" s="139" t="s">
        <v>1049</v>
      </c>
      <c r="G445" s="71">
        <v>80</v>
      </c>
      <c r="H445" s="71">
        <v>250</v>
      </c>
      <c r="I445" s="81">
        <v>0</v>
      </c>
      <c r="J445" s="71">
        <v>250</v>
      </c>
      <c r="K445" s="66" t="s">
        <v>989</v>
      </c>
      <c r="L445" s="73" t="s">
        <v>1010</v>
      </c>
      <c r="M445" s="73" t="s">
        <v>1010</v>
      </c>
      <c r="N445" s="74">
        <v>46031</v>
      </c>
      <c r="O445" s="74">
        <v>46063</v>
      </c>
      <c r="P445" s="74"/>
      <c r="Q445" s="1">
        <v>1460</v>
      </c>
      <c r="R445" t="str">
        <f t="shared" si="6"/>
        <v>Abierto</v>
      </c>
      <c r="S445" s="1" t="s">
        <v>994</v>
      </c>
    </row>
    <row r="446" spans="1:20" s="1" customFormat="1" x14ac:dyDescent="0.3">
      <c r="A446">
        <v>445</v>
      </c>
      <c r="B446" s="105" t="s">
        <v>1061</v>
      </c>
      <c r="C446" s="105" t="s">
        <v>720</v>
      </c>
      <c r="D446" s="105" t="s">
        <v>721</v>
      </c>
      <c r="E446" s="114">
        <v>46020.592581018522</v>
      </c>
      <c r="F446" s="139" t="s">
        <v>1045</v>
      </c>
      <c r="G446" s="71">
        <v>80</v>
      </c>
      <c r="H446" s="71">
        <v>532040</v>
      </c>
      <c r="I446" s="81">
        <v>0</v>
      </c>
      <c r="J446" s="71">
        <v>364</v>
      </c>
      <c r="K446" s="66" t="s">
        <v>989</v>
      </c>
      <c r="L446" s="73" t="s">
        <v>1010</v>
      </c>
      <c r="M446" s="73" t="s">
        <v>1010</v>
      </c>
      <c r="N446" s="74">
        <v>46031</v>
      </c>
      <c r="O446" s="74">
        <v>46063</v>
      </c>
      <c r="P446" s="74"/>
      <c r="Q446" s="1">
        <v>1459</v>
      </c>
      <c r="R446" t="str">
        <f t="shared" si="6"/>
        <v>Abierto</v>
      </c>
      <c r="S446" s="1" t="s">
        <v>994</v>
      </c>
    </row>
    <row r="447" spans="1:20" x14ac:dyDescent="0.3">
      <c r="A447">
        <v>446</v>
      </c>
      <c r="B447" s="106" t="s">
        <v>1073</v>
      </c>
      <c r="C447" s="106" t="s">
        <v>722</v>
      </c>
      <c r="D447" s="106" t="s">
        <v>723</v>
      </c>
      <c r="E447" s="107">
        <v>46020.853437500002</v>
      </c>
      <c r="F447" s="140" t="s">
        <v>1018</v>
      </c>
      <c r="G447" s="92">
        <v>70</v>
      </c>
      <c r="H447" s="92">
        <v>849.67</v>
      </c>
      <c r="I447" s="100">
        <v>0</v>
      </c>
      <c r="J447" s="92">
        <v>849.67</v>
      </c>
      <c r="K447" s="66" t="s">
        <v>989</v>
      </c>
      <c r="L447" s="93" t="s">
        <v>1010</v>
      </c>
      <c r="M447" s="93" t="s">
        <v>1010</v>
      </c>
      <c r="N447" s="94"/>
      <c r="O447" s="94"/>
      <c r="P447" s="94"/>
      <c r="Q447" s="28"/>
      <c r="R447" t="str">
        <f t="shared" si="6"/>
        <v>Abierto</v>
      </c>
      <c r="S447" s="28" t="s">
        <v>997</v>
      </c>
      <c r="T447" s="28"/>
    </row>
    <row r="448" spans="1:20" x14ac:dyDescent="0.3">
      <c r="A448">
        <v>447</v>
      </c>
      <c r="B448" s="108" t="s">
        <v>1073</v>
      </c>
      <c r="C448" s="108" t="s">
        <v>724</v>
      </c>
      <c r="D448" s="108" t="s">
        <v>725</v>
      </c>
      <c r="E448" s="109">
        <v>46021.419803240737</v>
      </c>
      <c r="F448" s="141" t="s">
        <v>1049</v>
      </c>
      <c r="G448" s="76">
        <v>0</v>
      </c>
      <c r="H448" s="76">
        <v>0</v>
      </c>
      <c r="I448" s="89">
        <v>0</v>
      </c>
      <c r="J448" s="76">
        <v>0</v>
      </c>
      <c r="K448" s="66" t="s">
        <v>989</v>
      </c>
      <c r="L448" s="78" t="s">
        <v>1009</v>
      </c>
      <c r="M448" s="78" t="s">
        <v>1009</v>
      </c>
      <c r="N448" s="79"/>
      <c r="O448" s="79"/>
      <c r="P448" s="79"/>
      <c r="Q448" s="11"/>
      <c r="R448" t="str">
        <f t="shared" si="6"/>
        <v>Cerrado</v>
      </c>
      <c r="S448" s="11" t="s">
        <v>993</v>
      </c>
      <c r="T448" s="11"/>
    </row>
    <row r="449" spans="1:20" x14ac:dyDescent="0.3">
      <c r="A449">
        <v>448</v>
      </c>
      <c r="B449" s="106" t="s">
        <v>1073</v>
      </c>
      <c r="C449" s="106" t="s">
        <v>726</v>
      </c>
      <c r="D449" s="106" t="s">
        <v>727</v>
      </c>
      <c r="E449" s="107">
        <v>46021.422696759262</v>
      </c>
      <c r="F449" s="140" t="s">
        <v>1018</v>
      </c>
      <c r="G449" s="92">
        <v>70</v>
      </c>
      <c r="H449" s="92">
        <v>0</v>
      </c>
      <c r="I449" s="100">
        <v>0</v>
      </c>
      <c r="J449" s="92">
        <v>0</v>
      </c>
      <c r="K449" s="66" t="s">
        <v>989</v>
      </c>
      <c r="L449" s="93" t="s">
        <v>1009</v>
      </c>
      <c r="M449" s="93" t="s">
        <v>1009</v>
      </c>
      <c r="N449" s="94"/>
      <c r="O449" s="94"/>
      <c r="P449" s="94"/>
      <c r="Q449" s="28"/>
      <c r="R449" t="str">
        <f t="shared" si="6"/>
        <v>Abierto</v>
      </c>
      <c r="S449" s="28" t="s">
        <v>997</v>
      </c>
      <c r="T449" s="28"/>
    </row>
    <row r="450" spans="1:20" x14ac:dyDescent="0.3">
      <c r="A450">
        <v>449</v>
      </c>
      <c r="B450" s="112" t="s">
        <v>1073</v>
      </c>
      <c r="C450" s="112" t="s">
        <v>728</v>
      </c>
      <c r="D450" s="112" t="s">
        <v>729</v>
      </c>
      <c r="E450" s="113">
        <v>46021.428298611107</v>
      </c>
      <c r="F450" s="143" t="s">
        <v>1018</v>
      </c>
      <c r="G450" s="44">
        <v>70</v>
      </c>
      <c r="H450" s="44">
        <v>0</v>
      </c>
      <c r="I450" s="20">
        <v>0</v>
      </c>
      <c r="J450" s="44">
        <v>0</v>
      </c>
      <c r="K450" s="66" t="s">
        <v>989</v>
      </c>
      <c r="L450" s="7" t="s">
        <v>1009</v>
      </c>
      <c r="M450" s="7" t="s">
        <v>1009</v>
      </c>
      <c r="R450" t="str">
        <f t="shared" ref="R450:R513" si="7">IF(OR(S450="On Going", S450="Refacturado", S450="Para Refacturar"), "Abierto", IF(OR(S450="Cobrado", S450="No Fee"), "Cerrado", ""))</f>
        <v>Abierto</v>
      </c>
      <c r="S450" t="s">
        <v>996</v>
      </c>
    </row>
    <row r="451" spans="1:20" x14ac:dyDescent="0.3">
      <c r="A451">
        <v>450</v>
      </c>
      <c r="B451" s="112" t="s">
        <v>1074</v>
      </c>
      <c r="C451" s="112" t="s">
        <v>730</v>
      </c>
      <c r="D451" s="112" t="s">
        <v>731</v>
      </c>
      <c r="E451" s="113">
        <v>46021.546620370369</v>
      </c>
      <c r="F451" s="143" t="s">
        <v>1018</v>
      </c>
      <c r="G451" s="44">
        <v>70</v>
      </c>
      <c r="H451" s="44">
        <v>0</v>
      </c>
      <c r="I451" s="20">
        <v>0</v>
      </c>
      <c r="J451" s="44">
        <v>0</v>
      </c>
      <c r="K451" s="66" t="s">
        <v>989</v>
      </c>
      <c r="L451" s="7" t="s">
        <v>1009</v>
      </c>
      <c r="M451" s="7" t="s">
        <v>1009</v>
      </c>
      <c r="R451" t="str">
        <f t="shared" si="7"/>
        <v>Abierto</v>
      </c>
      <c r="S451" t="s">
        <v>996</v>
      </c>
    </row>
    <row r="452" spans="1:20" x14ac:dyDescent="0.3">
      <c r="A452">
        <v>451</v>
      </c>
      <c r="B452" s="106" t="s">
        <v>1073</v>
      </c>
      <c r="C452" s="106" t="s">
        <v>732</v>
      </c>
      <c r="D452" s="106" t="s">
        <v>733</v>
      </c>
      <c r="E452" s="107">
        <v>46021.669039351851</v>
      </c>
      <c r="F452" s="140" t="s">
        <v>1016</v>
      </c>
      <c r="G452" s="92">
        <v>80</v>
      </c>
      <c r="H452" s="92">
        <v>0</v>
      </c>
      <c r="I452" s="100">
        <v>0</v>
      </c>
      <c r="J452" s="92">
        <v>0</v>
      </c>
      <c r="K452" s="66" t="s">
        <v>989</v>
      </c>
      <c r="L452" s="93" t="s">
        <v>1009</v>
      </c>
      <c r="M452" s="93" t="s">
        <v>1009</v>
      </c>
      <c r="N452" s="94"/>
      <c r="O452" s="94"/>
      <c r="P452" s="94"/>
      <c r="Q452" s="28"/>
      <c r="R452" t="str">
        <f t="shared" si="7"/>
        <v>Abierto</v>
      </c>
      <c r="S452" s="28" t="s">
        <v>997</v>
      </c>
      <c r="T452" s="28"/>
    </row>
    <row r="453" spans="1:20" x14ac:dyDescent="0.3">
      <c r="A453">
        <v>452</v>
      </c>
      <c r="B453" s="108" t="s">
        <v>1073</v>
      </c>
      <c r="C453" s="108" t="s">
        <v>734</v>
      </c>
      <c r="D453" s="108" t="s">
        <v>735</v>
      </c>
      <c r="E453" s="109">
        <v>46021.686898148153</v>
      </c>
      <c r="F453" s="141" t="s">
        <v>1018</v>
      </c>
      <c r="G453" s="76">
        <v>0</v>
      </c>
      <c r="H453" s="76">
        <v>0</v>
      </c>
      <c r="I453" s="89">
        <v>0</v>
      </c>
      <c r="J453" s="76">
        <v>0</v>
      </c>
      <c r="K453" s="66" t="s">
        <v>989</v>
      </c>
      <c r="L453" s="78" t="s">
        <v>1009</v>
      </c>
      <c r="M453" s="78" t="s">
        <v>1009</v>
      </c>
      <c r="N453" s="79"/>
      <c r="O453" s="79"/>
      <c r="P453" s="79"/>
      <c r="Q453" s="11"/>
      <c r="R453" t="str">
        <f t="shared" si="7"/>
        <v>Cerrado</v>
      </c>
      <c r="S453" s="11" t="s">
        <v>993</v>
      </c>
      <c r="T453" s="11"/>
    </row>
    <row r="454" spans="1:20" x14ac:dyDescent="0.3">
      <c r="A454">
        <v>453</v>
      </c>
      <c r="B454" s="112" t="s">
        <v>1073</v>
      </c>
      <c r="C454" s="112" t="s">
        <v>736</v>
      </c>
      <c r="D454" s="112" t="s">
        <v>737</v>
      </c>
      <c r="E454" s="113">
        <v>46021.75341435185</v>
      </c>
      <c r="F454" s="143" t="s">
        <v>1016</v>
      </c>
      <c r="G454" s="44">
        <v>80</v>
      </c>
      <c r="H454" s="44">
        <v>0</v>
      </c>
      <c r="I454" s="20">
        <v>0</v>
      </c>
      <c r="J454" s="44">
        <v>0</v>
      </c>
      <c r="K454" s="66" t="s">
        <v>989</v>
      </c>
      <c r="L454" s="7" t="s">
        <v>1009</v>
      </c>
      <c r="M454" s="7" t="s">
        <v>1009</v>
      </c>
      <c r="R454" t="str">
        <f t="shared" si="7"/>
        <v>Abierto</v>
      </c>
      <c r="S454" t="s">
        <v>996</v>
      </c>
    </row>
    <row r="455" spans="1:20" s="12" customFormat="1" x14ac:dyDescent="0.3">
      <c r="A455">
        <v>454</v>
      </c>
      <c r="B455" s="110" t="s">
        <v>1073</v>
      </c>
      <c r="C455" s="110" t="s">
        <v>738</v>
      </c>
      <c r="D455" s="12" t="s">
        <v>739</v>
      </c>
      <c r="E455" s="111">
        <v>46022.39738425926</v>
      </c>
      <c r="F455" s="142" t="s">
        <v>1018</v>
      </c>
      <c r="G455" s="62">
        <v>70</v>
      </c>
      <c r="H455" s="62">
        <v>0</v>
      </c>
      <c r="I455" s="67">
        <v>0</v>
      </c>
      <c r="J455" s="62">
        <v>0</v>
      </c>
      <c r="K455" s="66" t="s">
        <v>989</v>
      </c>
      <c r="L455" s="64" t="s">
        <v>1009</v>
      </c>
      <c r="M455" s="64" t="s">
        <v>1009</v>
      </c>
      <c r="N455" s="65">
        <v>46031</v>
      </c>
      <c r="O455" s="65">
        <v>46063</v>
      </c>
      <c r="P455" s="65">
        <v>46038</v>
      </c>
      <c r="Q455" s="12">
        <v>1458</v>
      </c>
      <c r="R455" t="str">
        <f t="shared" si="7"/>
        <v>Cerrado</v>
      </c>
      <c r="S455" s="12" t="s">
        <v>995</v>
      </c>
    </row>
    <row r="456" spans="1:20" x14ac:dyDescent="0.3">
      <c r="A456">
        <v>455</v>
      </c>
      <c r="B456" s="106" t="s">
        <v>1073</v>
      </c>
      <c r="C456" s="106" t="s">
        <v>740</v>
      </c>
      <c r="D456" s="106" t="s">
        <v>741</v>
      </c>
      <c r="E456" s="107">
        <v>46022.563055555547</v>
      </c>
      <c r="F456" s="140" t="s">
        <v>1018</v>
      </c>
      <c r="G456" s="92">
        <v>70</v>
      </c>
      <c r="H456" s="92">
        <v>215</v>
      </c>
      <c r="I456" s="100">
        <v>0</v>
      </c>
      <c r="J456" s="92">
        <v>215</v>
      </c>
      <c r="K456" s="66" t="s">
        <v>989</v>
      </c>
      <c r="L456" s="93" t="s">
        <v>1010</v>
      </c>
      <c r="M456" s="93" t="s">
        <v>1010</v>
      </c>
      <c r="N456" s="94"/>
      <c r="O456" s="94"/>
      <c r="P456" s="94"/>
      <c r="Q456" s="28"/>
      <c r="R456" t="str">
        <f t="shared" si="7"/>
        <v>Abierto</v>
      </c>
      <c r="S456" s="28" t="s">
        <v>997</v>
      </c>
      <c r="T456" s="28"/>
    </row>
    <row r="457" spans="1:20" x14ac:dyDescent="0.3">
      <c r="A457">
        <v>456</v>
      </c>
      <c r="B457" s="106" t="s">
        <v>1073</v>
      </c>
      <c r="C457" s="106" t="s">
        <v>742</v>
      </c>
      <c r="D457" s="106" t="s">
        <v>743</v>
      </c>
      <c r="E457" s="107">
        <v>46022.574166666673</v>
      </c>
      <c r="F457" s="140" t="s">
        <v>1018</v>
      </c>
      <c r="G457" s="92">
        <v>70</v>
      </c>
      <c r="H457" s="92">
        <v>0</v>
      </c>
      <c r="I457" s="100">
        <v>0</v>
      </c>
      <c r="J457" s="92">
        <v>0</v>
      </c>
      <c r="K457" s="66" t="s">
        <v>989</v>
      </c>
      <c r="L457" s="93" t="s">
        <v>1009</v>
      </c>
      <c r="M457" s="93" t="s">
        <v>1009</v>
      </c>
      <c r="N457" s="94"/>
      <c r="O457" s="94"/>
      <c r="P457" s="94"/>
      <c r="Q457" s="28"/>
      <c r="R457" t="str">
        <f t="shared" si="7"/>
        <v>Abierto</v>
      </c>
      <c r="S457" s="28" t="s">
        <v>997</v>
      </c>
      <c r="T457" s="28"/>
    </row>
    <row r="458" spans="1:20" x14ac:dyDescent="0.3">
      <c r="A458">
        <v>457</v>
      </c>
      <c r="B458" s="112" t="s">
        <v>1073</v>
      </c>
      <c r="C458" s="112" t="s">
        <v>744</v>
      </c>
      <c r="D458" s="112" t="s">
        <v>745</v>
      </c>
      <c r="E458" s="113">
        <v>46022.611168981479</v>
      </c>
      <c r="F458" s="143" t="s">
        <v>1018</v>
      </c>
      <c r="G458" s="44">
        <v>70</v>
      </c>
      <c r="H458" s="44">
        <v>0</v>
      </c>
      <c r="I458" s="20">
        <v>0</v>
      </c>
      <c r="J458" s="44">
        <v>0</v>
      </c>
      <c r="K458" s="66" t="s">
        <v>989</v>
      </c>
      <c r="L458" s="7" t="s">
        <v>1009</v>
      </c>
      <c r="M458" s="7" t="s">
        <v>1009</v>
      </c>
      <c r="R458" t="str">
        <f t="shared" si="7"/>
        <v>Abierto</v>
      </c>
      <c r="S458" t="s">
        <v>996</v>
      </c>
    </row>
    <row r="459" spans="1:20" x14ac:dyDescent="0.3">
      <c r="A459">
        <v>458</v>
      </c>
      <c r="B459" s="106" t="s">
        <v>1057</v>
      </c>
      <c r="C459" s="106" t="s">
        <v>746</v>
      </c>
      <c r="D459" s="106">
        <v>3822675793</v>
      </c>
      <c r="E459" s="107">
        <v>46022.617731481478</v>
      </c>
      <c r="F459" s="140" t="s">
        <v>1056</v>
      </c>
      <c r="G459" s="92">
        <v>90</v>
      </c>
      <c r="H459" s="92">
        <v>25</v>
      </c>
      <c r="I459" s="100">
        <v>0</v>
      </c>
      <c r="J459" s="92">
        <v>25</v>
      </c>
      <c r="K459" s="66" t="s">
        <v>989</v>
      </c>
      <c r="L459" s="93" t="s">
        <v>1009</v>
      </c>
      <c r="M459" s="93" t="s">
        <v>1010</v>
      </c>
      <c r="N459" s="94"/>
      <c r="O459" s="94"/>
      <c r="P459" s="94"/>
      <c r="Q459" s="28"/>
      <c r="R459" t="str">
        <f t="shared" si="7"/>
        <v>Abierto</v>
      </c>
      <c r="S459" s="28" t="s">
        <v>997</v>
      </c>
      <c r="T459" s="28"/>
    </row>
    <row r="460" spans="1:20" x14ac:dyDescent="0.3">
      <c r="A460">
        <v>459</v>
      </c>
      <c r="B460" s="108" t="s">
        <v>1060</v>
      </c>
      <c r="C460" s="108" t="s">
        <v>747</v>
      </c>
      <c r="D460" s="119" t="s">
        <v>1011</v>
      </c>
      <c r="E460" s="109">
        <v>46022.640810185178</v>
      </c>
      <c r="F460" s="141" t="s">
        <v>1018</v>
      </c>
      <c r="G460" s="76">
        <v>0</v>
      </c>
      <c r="H460" s="76">
        <v>0</v>
      </c>
      <c r="I460" s="89">
        <v>0</v>
      </c>
      <c r="J460" s="76">
        <v>0</v>
      </c>
      <c r="K460" s="66" t="s">
        <v>989</v>
      </c>
      <c r="L460" s="78" t="s">
        <v>1009</v>
      </c>
      <c r="M460" s="78" t="s">
        <v>1009</v>
      </c>
      <c r="N460" s="79"/>
      <c r="O460" s="79"/>
      <c r="P460" s="79"/>
      <c r="Q460" s="11"/>
      <c r="R460" t="str">
        <f t="shared" si="7"/>
        <v>Cerrado</v>
      </c>
      <c r="S460" s="11" t="s">
        <v>993</v>
      </c>
      <c r="T460" s="11"/>
    </row>
    <row r="461" spans="1:20" x14ac:dyDescent="0.3">
      <c r="A461">
        <v>460</v>
      </c>
      <c r="B461" s="108" t="s">
        <v>1073</v>
      </c>
      <c r="C461" s="108" t="s">
        <v>748</v>
      </c>
      <c r="D461" s="108" t="s">
        <v>749</v>
      </c>
      <c r="E461" s="109">
        <v>46022.876828703702</v>
      </c>
      <c r="F461" s="141" t="s">
        <v>1016</v>
      </c>
      <c r="G461" s="76">
        <v>0</v>
      </c>
      <c r="H461" s="76">
        <v>0</v>
      </c>
      <c r="I461" s="89">
        <v>0</v>
      </c>
      <c r="J461" s="76">
        <v>0</v>
      </c>
      <c r="K461" s="66" t="s">
        <v>989</v>
      </c>
      <c r="L461" s="78" t="s">
        <v>1009</v>
      </c>
      <c r="M461" s="78" t="s">
        <v>1009</v>
      </c>
      <c r="N461" s="79"/>
      <c r="O461" s="79"/>
      <c r="P461" s="79"/>
      <c r="Q461" s="11"/>
      <c r="R461" t="str">
        <f t="shared" si="7"/>
        <v>Cerrado</v>
      </c>
      <c r="S461" s="11" t="s">
        <v>993</v>
      </c>
      <c r="T461" s="11"/>
    </row>
    <row r="462" spans="1:20" x14ac:dyDescent="0.3">
      <c r="A462">
        <v>461</v>
      </c>
      <c r="B462" s="108" t="s">
        <v>1060</v>
      </c>
      <c r="C462" s="108" t="s">
        <v>750</v>
      </c>
      <c r="D462" s="119" t="s">
        <v>1011</v>
      </c>
      <c r="E462" s="109">
        <v>46023.303182870368</v>
      </c>
      <c r="F462" s="141" t="s">
        <v>1021</v>
      </c>
      <c r="G462" s="76">
        <v>0</v>
      </c>
      <c r="H462" s="76">
        <v>0</v>
      </c>
      <c r="I462" s="89">
        <v>0</v>
      </c>
      <c r="J462" s="76">
        <v>0</v>
      </c>
      <c r="K462" s="66" t="s">
        <v>989</v>
      </c>
      <c r="L462" s="78" t="s">
        <v>1009</v>
      </c>
      <c r="M462" s="78" t="s">
        <v>1009</v>
      </c>
      <c r="N462" s="79"/>
      <c r="O462" s="79"/>
      <c r="P462" s="79"/>
      <c r="Q462" s="11"/>
      <c r="R462" t="str">
        <f t="shared" si="7"/>
        <v>Cerrado</v>
      </c>
      <c r="S462" s="11" t="s">
        <v>993</v>
      </c>
      <c r="T462" s="11"/>
    </row>
    <row r="463" spans="1:20" x14ac:dyDescent="0.3">
      <c r="A463">
        <v>462</v>
      </c>
      <c r="B463" s="106" t="s">
        <v>1073</v>
      </c>
      <c r="C463" s="106" t="s">
        <v>751</v>
      </c>
      <c r="D463" s="106" t="s">
        <v>752</v>
      </c>
      <c r="E463" s="107">
        <v>46023.461898148147</v>
      </c>
      <c r="F463" s="140" t="s">
        <v>1049</v>
      </c>
      <c r="G463" s="92">
        <v>80</v>
      </c>
      <c r="H463" s="92">
        <v>0</v>
      </c>
      <c r="I463" s="100">
        <v>0</v>
      </c>
      <c r="J463" s="92">
        <v>0</v>
      </c>
      <c r="K463" s="66" t="s">
        <v>989</v>
      </c>
      <c r="L463" s="93" t="s">
        <v>1009</v>
      </c>
      <c r="M463" s="93" t="s">
        <v>1009</v>
      </c>
      <c r="N463" s="94"/>
      <c r="O463" s="94"/>
      <c r="P463" s="94"/>
      <c r="Q463" s="28"/>
      <c r="R463" t="str">
        <f t="shared" si="7"/>
        <v>Abierto</v>
      </c>
      <c r="S463" s="28" t="s">
        <v>997</v>
      </c>
      <c r="T463" s="28"/>
    </row>
    <row r="464" spans="1:20" x14ac:dyDescent="0.3">
      <c r="A464">
        <v>463</v>
      </c>
      <c r="B464" s="108" t="s">
        <v>1060</v>
      </c>
      <c r="C464" s="108" t="s">
        <v>753</v>
      </c>
      <c r="D464" s="119" t="s">
        <v>1011</v>
      </c>
      <c r="E464" s="109">
        <v>46023.653460648151</v>
      </c>
      <c r="F464" s="141" t="s">
        <v>1021</v>
      </c>
      <c r="G464" s="76">
        <v>0</v>
      </c>
      <c r="H464" s="76">
        <v>0</v>
      </c>
      <c r="I464" s="89">
        <v>0</v>
      </c>
      <c r="J464" s="76">
        <v>0</v>
      </c>
      <c r="K464" s="66" t="s">
        <v>989</v>
      </c>
      <c r="L464" s="78" t="s">
        <v>1009</v>
      </c>
      <c r="M464" s="78" t="s">
        <v>1009</v>
      </c>
      <c r="N464" s="79"/>
      <c r="O464" s="79"/>
      <c r="P464" s="79"/>
      <c r="Q464" s="11"/>
      <c r="R464" t="str">
        <f t="shared" si="7"/>
        <v>Cerrado</v>
      </c>
      <c r="S464" s="11" t="s">
        <v>993</v>
      </c>
      <c r="T464" s="11"/>
    </row>
    <row r="465" spans="1:20" s="1" customFormat="1" x14ac:dyDescent="0.3">
      <c r="A465">
        <v>464</v>
      </c>
      <c r="B465" s="105" t="s">
        <v>1073</v>
      </c>
      <c r="C465" s="105" t="s">
        <v>754</v>
      </c>
      <c r="D465" s="105" t="s">
        <v>755</v>
      </c>
      <c r="E465" s="114">
        <v>46023.80740740741</v>
      </c>
      <c r="F465" s="139" t="s">
        <v>1048</v>
      </c>
      <c r="G465" s="71">
        <v>80</v>
      </c>
      <c r="H465" s="71">
        <v>0</v>
      </c>
      <c r="I465" s="81">
        <v>0</v>
      </c>
      <c r="J465" s="71">
        <v>0</v>
      </c>
      <c r="K465" s="66" t="s">
        <v>989</v>
      </c>
      <c r="L465" s="73" t="s">
        <v>1010</v>
      </c>
      <c r="M465" s="73" t="s">
        <v>1010</v>
      </c>
      <c r="N465" s="74" t="s">
        <v>756</v>
      </c>
      <c r="O465" s="74">
        <v>46063</v>
      </c>
      <c r="P465" s="74"/>
      <c r="Q465" s="1">
        <v>1457</v>
      </c>
      <c r="R465" t="str">
        <f t="shared" si="7"/>
        <v>Abierto</v>
      </c>
      <c r="S465" s="1" t="s">
        <v>994</v>
      </c>
    </row>
    <row r="466" spans="1:20" x14ac:dyDescent="0.3">
      <c r="A466">
        <v>465</v>
      </c>
      <c r="B466" s="112" t="s">
        <v>1073</v>
      </c>
      <c r="C466" s="112" t="s">
        <v>757</v>
      </c>
      <c r="D466" s="112" t="s">
        <v>758</v>
      </c>
      <c r="E466" s="113">
        <v>46023.879791666674</v>
      </c>
      <c r="F466" s="143" t="s">
        <v>1018</v>
      </c>
      <c r="G466" s="44">
        <v>70</v>
      </c>
      <c r="H466" s="44">
        <v>0</v>
      </c>
      <c r="I466" s="20">
        <v>0</v>
      </c>
      <c r="J466" s="44">
        <v>0</v>
      </c>
      <c r="K466" s="66" t="s">
        <v>989</v>
      </c>
      <c r="L466" s="7" t="s">
        <v>1009</v>
      </c>
      <c r="M466" s="7" t="s">
        <v>1009</v>
      </c>
      <c r="R466" t="str">
        <f t="shared" si="7"/>
        <v>Abierto</v>
      </c>
      <c r="S466" t="s">
        <v>996</v>
      </c>
    </row>
    <row r="467" spans="1:20" x14ac:dyDescent="0.3">
      <c r="A467">
        <v>466</v>
      </c>
      <c r="B467" s="112" t="s">
        <v>1073</v>
      </c>
      <c r="C467" s="112" t="s">
        <v>759</v>
      </c>
      <c r="D467" s="112" t="s">
        <v>760</v>
      </c>
      <c r="E467" s="113">
        <v>46024.312835648147</v>
      </c>
      <c r="F467" s="143" t="s">
        <v>1018</v>
      </c>
      <c r="G467" s="44">
        <v>70</v>
      </c>
      <c r="H467" s="44">
        <v>0</v>
      </c>
      <c r="I467" s="20">
        <v>0</v>
      </c>
      <c r="J467" s="44">
        <v>0</v>
      </c>
      <c r="K467" s="66" t="s">
        <v>989</v>
      </c>
      <c r="L467" s="7" t="s">
        <v>1009</v>
      </c>
      <c r="M467" s="7" t="s">
        <v>1009</v>
      </c>
      <c r="R467" t="str">
        <f t="shared" si="7"/>
        <v>Abierto</v>
      </c>
      <c r="S467" t="s">
        <v>996</v>
      </c>
    </row>
    <row r="468" spans="1:20" x14ac:dyDescent="0.3">
      <c r="A468">
        <v>467</v>
      </c>
      <c r="B468" s="112" t="s">
        <v>1073</v>
      </c>
      <c r="C468" s="112" t="s">
        <v>761</v>
      </c>
      <c r="D468" s="112" t="s">
        <v>762</v>
      </c>
      <c r="E468" s="113">
        <v>46024.422627314823</v>
      </c>
      <c r="F468" s="143" t="s">
        <v>1049</v>
      </c>
      <c r="G468" s="44">
        <v>80</v>
      </c>
      <c r="H468" s="44">
        <v>0</v>
      </c>
      <c r="I468" s="20">
        <v>0</v>
      </c>
      <c r="J468" s="44">
        <v>0</v>
      </c>
      <c r="K468" s="66" t="s">
        <v>989</v>
      </c>
      <c r="L468" s="7" t="s">
        <v>1009</v>
      </c>
      <c r="M468" s="7" t="s">
        <v>1009</v>
      </c>
      <c r="R468" t="str">
        <f t="shared" si="7"/>
        <v>Abierto</v>
      </c>
      <c r="S468" t="s">
        <v>996</v>
      </c>
    </row>
    <row r="469" spans="1:20" x14ac:dyDescent="0.3">
      <c r="A469">
        <v>468</v>
      </c>
      <c r="B469" s="106" t="s">
        <v>1061</v>
      </c>
      <c r="C469" s="106" t="s">
        <v>763</v>
      </c>
      <c r="D469" s="106" t="s">
        <v>764</v>
      </c>
      <c r="E469" s="107">
        <v>46024.522476851853</v>
      </c>
      <c r="F469" s="140" t="s">
        <v>1017</v>
      </c>
      <c r="G469" s="92">
        <v>80</v>
      </c>
      <c r="H469" s="92">
        <v>245</v>
      </c>
      <c r="I469" s="100">
        <v>0</v>
      </c>
      <c r="J469" s="92">
        <v>245</v>
      </c>
      <c r="K469" s="66" t="s">
        <v>989</v>
      </c>
      <c r="L469" s="93" t="s">
        <v>1010</v>
      </c>
      <c r="M469" s="93" t="s">
        <v>1010</v>
      </c>
      <c r="N469" s="94"/>
      <c r="O469" s="94"/>
      <c r="P469" s="94"/>
      <c r="Q469" s="28"/>
      <c r="R469" t="str">
        <f t="shared" si="7"/>
        <v>Abierto</v>
      </c>
      <c r="S469" s="28" t="s">
        <v>997</v>
      </c>
      <c r="T469" s="28"/>
    </row>
    <row r="470" spans="1:20" x14ac:dyDescent="0.3">
      <c r="A470">
        <v>469</v>
      </c>
      <c r="B470" s="112" t="s">
        <v>1060</v>
      </c>
      <c r="C470" s="112" t="s">
        <v>765</v>
      </c>
      <c r="D470" s="112" t="s">
        <v>766</v>
      </c>
      <c r="E470" s="113">
        <v>46024.59412037037</v>
      </c>
      <c r="F470" s="143" t="s">
        <v>1018</v>
      </c>
      <c r="G470" s="44">
        <v>0</v>
      </c>
      <c r="H470" s="44">
        <v>5900</v>
      </c>
      <c r="I470" s="20">
        <v>0</v>
      </c>
      <c r="J470" s="44">
        <v>5900</v>
      </c>
      <c r="K470" s="66" t="s">
        <v>989</v>
      </c>
      <c r="L470" s="7" t="s">
        <v>1009</v>
      </c>
      <c r="M470" s="7" t="s">
        <v>1009</v>
      </c>
      <c r="R470" t="str">
        <f t="shared" si="7"/>
        <v>Abierto</v>
      </c>
      <c r="S470" t="s">
        <v>996</v>
      </c>
    </row>
    <row r="471" spans="1:20" x14ac:dyDescent="0.3">
      <c r="A471">
        <v>470</v>
      </c>
      <c r="B471" s="112" t="s">
        <v>1061</v>
      </c>
      <c r="C471" s="112" t="s">
        <v>767</v>
      </c>
      <c r="D471" s="112" t="s">
        <v>768</v>
      </c>
      <c r="E471" s="113">
        <v>46024.638935185183</v>
      </c>
      <c r="F471" s="143" t="s">
        <v>1045</v>
      </c>
      <c r="G471" s="44">
        <v>80</v>
      </c>
      <c r="H471" s="44">
        <v>0</v>
      </c>
      <c r="I471" s="20">
        <v>0</v>
      </c>
      <c r="J471" s="44">
        <v>0</v>
      </c>
      <c r="K471" s="66" t="s">
        <v>989</v>
      </c>
      <c r="L471" s="7" t="s">
        <v>1009</v>
      </c>
      <c r="M471" s="7" t="s">
        <v>1009</v>
      </c>
      <c r="R471" t="str">
        <f t="shared" si="7"/>
        <v>Abierto</v>
      </c>
      <c r="S471" t="s">
        <v>996</v>
      </c>
    </row>
    <row r="472" spans="1:20" x14ac:dyDescent="0.3">
      <c r="A472">
        <v>471</v>
      </c>
      <c r="B472" s="112" t="s">
        <v>1073</v>
      </c>
      <c r="C472" s="112" t="s">
        <v>769</v>
      </c>
      <c r="D472" s="112" t="s">
        <v>770</v>
      </c>
      <c r="E472" s="113">
        <v>46024.765914351847</v>
      </c>
      <c r="F472" s="143" t="s">
        <v>1018</v>
      </c>
      <c r="G472" s="44">
        <v>70</v>
      </c>
      <c r="H472" s="44">
        <v>0</v>
      </c>
      <c r="I472" s="20">
        <v>0</v>
      </c>
      <c r="J472" s="44">
        <v>0</v>
      </c>
      <c r="K472" s="66" t="s">
        <v>989</v>
      </c>
      <c r="L472" s="7" t="s">
        <v>1009</v>
      </c>
      <c r="M472" s="7" t="s">
        <v>1009</v>
      </c>
      <c r="R472" t="str">
        <f t="shared" si="7"/>
        <v>Abierto</v>
      </c>
      <c r="S472" t="s">
        <v>996</v>
      </c>
    </row>
    <row r="473" spans="1:20" x14ac:dyDescent="0.3">
      <c r="A473">
        <v>472</v>
      </c>
      <c r="B473" s="112" t="s">
        <v>1073</v>
      </c>
      <c r="C473" s="112" t="s">
        <v>771</v>
      </c>
      <c r="D473" s="112" t="s">
        <v>772</v>
      </c>
      <c r="E473" s="113">
        <v>46025.106192129628</v>
      </c>
      <c r="F473" s="143" t="s">
        <v>1048</v>
      </c>
      <c r="G473" s="44">
        <v>80</v>
      </c>
      <c r="H473" s="44">
        <v>0</v>
      </c>
      <c r="I473" s="20">
        <v>0</v>
      </c>
      <c r="J473" s="44">
        <v>0</v>
      </c>
      <c r="K473" s="66" t="s">
        <v>989</v>
      </c>
      <c r="L473" s="7" t="s">
        <v>1009</v>
      </c>
      <c r="M473" s="7" t="s">
        <v>1009</v>
      </c>
      <c r="R473" t="str">
        <f t="shared" si="7"/>
        <v>Abierto</v>
      </c>
      <c r="S473" t="s">
        <v>996</v>
      </c>
    </row>
    <row r="474" spans="1:20" x14ac:dyDescent="0.3">
      <c r="A474">
        <v>473</v>
      </c>
      <c r="B474" s="112" t="s">
        <v>1073</v>
      </c>
      <c r="C474" s="112" t="s">
        <v>773</v>
      </c>
      <c r="D474" s="112" t="s">
        <v>774</v>
      </c>
      <c r="E474" s="113">
        <v>46025.413738425923</v>
      </c>
      <c r="F474" s="143" t="s">
        <v>1018</v>
      </c>
      <c r="G474" s="44">
        <v>70</v>
      </c>
      <c r="H474" s="44">
        <v>0</v>
      </c>
      <c r="I474" s="20">
        <v>0</v>
      </c>
      <c r="J474" s="44">
        <v>0</v>
      </c>
      <c r="K474" s="66" t="s">
        <v>989</v>
      </c>
      <c r="L474" s="7" t="s">
        <v>1009</v>
      </c>
      <c r="M474" s="7" t="s">
        <v>1009</v>
      </c>
      <c r="R474" t="str">
        <f t="shared" si="7"/>
        <v>Abierto</v>
      </c>
      <c r="S474" t="s">
        <v>996</v>
      </c>
    </row>
    <row r="475" spans="1:20" x14ac:dyDescent="0.3">
      <c r="A475">
        <v>474</v>
      </c>
      <c r="B475" s="2" t="s">
        <v>1069</v>
      </c>
      <c r="C475" s="108" t="s">
        <v>775</v>
      </c>
      <c r="D475" s="119" t="s">
        <v>1011</v>
      </c>
      <c r="E475" s="109">
        <v>46025.604814814818</v>
      </c>
      <c r="F475" s="141" t="s">
        <v>1048</v>
      </c>
      <c r="G475" s="76">
        <v>0</v>
      </c>
      <c r="H475" s="76">
        <v>0</v>
      </c>
      <c r="I475" s="89">
        <v>0</v>
      </c>
      <c r="J475" s="76">
        <v>0</v>
      </c>
      <c r="K475" s="66" t="s">
        <v>989</v>
      </c>
      <c r="L475" s="78" t="s">
        <v>1009</v>
      </c>
      <c r="M475" s="78" t="s">
        <v>1009</v>
      </c>
      <c r="N475" s="79"/>
      <c r="O475" s="79"/>
      <c r="P475" s="79"/>
      <c r="Q475" s="11"/>
      <c r="R475" t="str">
        <f t="shared" si="7"/>
        <v>Cerrado</v>
      </c>
      <c r="S475" s="11" t="s">
        <v>993</v>
      </c>
      <c r="T475" s="11"/>
    </row>
    <row r="476" spans="1:20" s="1" customFormat="1" x14ac:dyDescent="0.3">
      <c r="A476">
        <v>475</v>
      </c>
      <c r="B476" s="105" t="s">
        <v>1060</v>
      </c>
      <c r="C476" s="105" t="s">
        <v>776</v>
      </c>
      <c r="D476" s="105" t="s">
        <v>777</v>
      </c>
      <c r="E476" s="114">
        <v>46025.617222222223</v>
      </c>
      <c r="F476" s="139" t="s">
        <v>1024</v>
      </c>
      <c r="G476" s="71">
        <v>80</v>
      </c>
      <c r="H476" s="71">
        <v>0</v>
      </c>
      <c r="I476" s="81">
        <v>0</v>
      </c>
      <c r="J476" s="71">
        <v>0</v>
      </c>
      <c r="K476" s="66" t="s">
        <v>989</v>
      </c>
      <c r="L476" s="73" t="s">
        <v>1009</v>
      </c>
      <c r="M476" s="73" t="s">
        <v>1009</v>
      </c>
      <c r="N476" s="74">
        <v>46031</v>
      </c>
      <c r="O476" s="74">
        <v>46063</v>
      </c>
      <c r="P476" s="74"/>
      <c r="Q476" s="1">
        <v>1456</v>
      </c>
      <c r="R476" t="str">
        <f t="shared" si="7"/>
        <v>Abierto</v>
      </c>
      <c r="S476" s="1" t="s">
        <v>994</v>
      </c>
    </row>
    <row r="477" spans="1:20" x14ac:dyDescent="0.3">
      <c r="A477">
        <v>476</v>
      </c>
      <c r="B477" s="112" t="s">
        <v>1061</v>
      </c>
      <c r="C477" s="112" t="s">
        <v>778</v>
      </c>
      <c r="D477" s="112" t="s">
        <v>779</v>
      </c>
      <c r="E477" s="113">
        <v>46025.618831018517</v>
      </c>
      <c r="F477" s="143" t="s">
        <v>1045</v>
      </c>
      <c r="G477" s="44">
        <v>80</v>
      </c>
      <c r="H477" s="44">
        <v>0</v>
      </c>
      <c r="I477" s="20">
        <v>0</v>
      </c>
      <c r="J477" s="44">
        <v>0</v>
      </c>
      <c r="K477" s="66" t="s">
        <v>989</v>
      </c>
      <c r="L477" s="7" t="s">
        <v>1009</v>
      </c>
      <c r="M477" s="7" t="s">
        <v>1009</v>
      </c>
      <c r="R477" t="str">
        <f t="shared" si="7"/>
        <v>Abierto</v>
      </c>
      <c r="S477" t="s">
        <v>996</v>
      </c>
    </row>
    <row r="478" spans="1:20" x14ac:dyDescent="0.3">
      <c r="A478">
        <v>477</v>
      </c>
      <c r="B478" s="108" t="s">
        <v>1057</v>
      </c>
      <c r="C478" s="108" t="s">
        <v>780</v>
      </c>
      <c r="D478" s="119" t="s">
        <v>1011</v>
      </c>
      <c r="E478" s="109">
        <v>46025.732905092591</v>
      </c>
      <c r="F478" s="141" t="s">
        <v>1051</v>
      </c>
      <c r="G478" s="76">
        <v>0</v>
      </c>
      <c r="H478" s="76">
        <v>0</v>
      </c>
      <c r="I478" s="89">
        <v>0</v>
      </c>
      <c r="J478" s="76">
        <v>0</v>
      </c>
      <c r="K478" s="66" t="s">
        <v>989</v>
      </c>
      <c r="L478" s="78" t="s">
        <v>1009</v>
      </c>
      <c r="M478" s="78" t="s">
        <v>1009</v>
      </c>
      <c r="N478" s="79"/>
      <c r="O478" s="79"/>
      <c r="P478" s="79"/>
      <c r="Q478" s="11"/>
      <c r="R478" t="str">
        <f t="shared" si="7"/>
        <v>Cerrado</v>
      </c>
      <c r="S478" s="11" t="s">
        <v>993</v>
      </c>
      <c r="T478" s="11"/>
    </row>
    <row r="479" spans="1:20" x14ac:dyDescent="0.3">
      <c r="A479">
        <v>478</v>
      </c>
      <c r="B479" s="106" t="s">
        <v>1073</v>
      </c>
      <c r="C479" s="106" t="s">
        <v>781</v>
      </c>
      <c r="D479" s="106" t="s">
        <v>782</v>
      </c>
      <c r="E479" s="107">
        <v>46026.411689814813</v>
      </c>
      <c r="F479" s="140" t="s">
        <v>1016</v>
      </c>
      <c r="G479" s="92">
        <v>80</v>
      </c>
      <c r="H479" s="92">
        <v>392</v>
      </c>
      <c r="I479" s="100">
        <v>0</v>
      </c>
      <c r="J479" s="92">
        <v>392</v>
      </c>
      <c r="K479" s="66" t="s">
        <v>989</v>
      </c>
      <c r="L479" s="93" t="s">
        <v>1010</v>
      </c>
      <c r="M479" s="93" t="s">
        <v>1010</v>
      </c>
      <c r="N479" s="94"/>
      <c r="O479" s="94"/>
      <c r="P479" s="94"/>
      <c r="Q479" s="28"/>
      <c r="R479" t="str">
        <f t="shared" si="7"/>
        <v>Abierto</v>
      </c>
      <c r="S479" s="28" t="s">
        <v>997</v>
      </c>
      <c r="T479" s="28"/>
    </row>
    <row r="480" spans="1:20" x14ac:dyDescent="0.3">
      <c r="A480">
        <v>479</v>
      </c>
      <c r="B480" s="112" t="s">
        <v>1073</v>
      </c>
      <c r="C480" s="112" t="s">
        <v>783</v>
      </c>
      <c r="D480" s="112" t="s">
        <v>784</v>
      </c>
      <c r="E480" s="113">
        <v>46026.443425925929</v>
      </c>
      <c r="F480" s="143" t="s">
        <v>1018</v>
      </c>
      <c r="G480" s="44">
        <v>70</v>
      </c>
      <c r="H480" s="44">
        <v>0</v>
      </c>
      <c r="I480" s="20">
        <v>0</v>
      </c>
      <c r="J480" s="44">
        <v>0</v>
      </c>
      <c r="K480" s="66" t="s">
        <v>989</v>
      </c>
      <c r="L480" s="7" t="s">
        <v>1009</v>
      </c>
      <c r="M480" s="7" t="s">
        <v>1009</v>
      </c>
      <c r="R480" t="str">
        <f t="shared" si="7"/>
        <v>Abierto</v>
      </c>
      <c r="S480" t="s">
        <v>996</v>
      </c>
    </row>
    <row r="481" spans="1:20" x14ac:dyDescent="0.3">
      <c r="A481">
        <v>480</v>
      </c>
      <c r="B481" s="112" t="s">
        <v>1073</v>
      </c>
      <c r="C481" s="112" t="s">
        <v>785</v>
      </c>
      <c r="D481" s="112" t="s">
        <v>786</v>
      </c>
      <c r="E481" s="113">
        <v>46026.93304398148</v>
      </c>
      <c r="F481" s="143" t="s">
        <v>1018</v>
      </c>
      <c r="G481" s="44">
        <v>70</v>
      </c>
      <c r="H481" s="44">
        <v>0</v>
      </c>
      <c r="I481" s="20">
        <v>0</v>
      </c>
      <c r="J481" s="44">
        <v>0</v>
      </c>
      <c r="K481" s="66" t="s">
        <v>989</v>
      </c>
      <c r="L481" s="7" t="s">
        <v>1009</v>
      </c>
      <c r="M481" s="7" t="s">
        <v>1009</v>
      </c>
      <c r="R481" t="str">
        <f t="shared" si="7"/>
        <v>Abierto</v>
      </c>
      <c r="S481" t="s">
        <v>996</v>
      </c>
    </row>
    <row r="482" spans="1:20" x14ac:dyDescent="0.3">
      <c r="A482">
        <v>481</v>
      </c>
      <c r="B482" s="112" t="s">
        <v>1073</v>
      </c>
      <c r="C482" s="112" t="s">
        <v>787</v>
      </c>
      <c r="D482" s="112" t="s">
        <v>788</v>
      </c>
      <c r="E482" s="113">
        <v>46027.42696759259</v>
      </c>
      <c r="F482" s="143" t="s">
        <v>1018</v>
      </c>
      <c r="G482" s="44">
        <v>70</v>
      </c>
      <c r="H482" s="44">
        <v>0</v>
      </c>
      <c r="I482" s="20">
        <v>0</v>
      </c>
      <c r="J482" s="44">
        <v>0</v>
      </c>
      <c r="K482" s="66" t="s">
        <v>989</v>
      </c>
      <c r="L482" s="7" t="s">
        <v>1009</v>
      </c>
      <c r="M482" s="7" t="s">
        <v>1009</v>
      </c>
      <c r="R482" t="str">
        <f t="shared" si="7"/>
        <v>Abierto</v>
      </c>
      <c r="S482" t="s">
        <v>996</v>
      </c>
    </row>
    <row r="483" spans="1:20" x14ac:dyDescent="0.3">
      <c r="A483">
        <v>482</v>
      </c>
      <c r="B483" s="106" t="s">
        <v>1073</v>
      </c>
      <c r="C483" s="106" t="s">
        <v>789</v>
      </c>
      <c r="D483" s="106" t="s">
        <v>790</v>
      </c>
      <c r="E483" s="107">
        <v>46027.431793981479</v>
      </c>
      <c r="F483" s="140" t="s">
        <v>1018</v>
      </c>
      <c r="G483" s="92">
        <v>70</v>
      </c>
      <c r="H483" s="92">
        <v>0</v>
      </c>
      <c r="I483" s="100">
        <v>0</v>
      </c>
      <c r="J483" s="92">
        <v>0</v>
      </c>
      <c r="K483" s="66" t="s">
        <v>989</v>
      </c>
      <c r="L483" s="93" t="s">
        <v>1009</v>
      </c>
      <c r="M483" s="93" t="s">
        <v>1009</v>
      </c>
      <c r="N483" s="94"/>
      <c r="O483" s="94"/>
      <c r="P483" s="94"/>
      <c r="Q483" s="28"/>
      <c r="R483" t="str">
        <f t="shared" si="7"/>
        <v>Abierto</v>
      </c>
      <c r="S483" s="28" t="s">
        <v>997</v>
      </c>
      <c r="T483" s="28"/>
    </row>
    <row r="484" spans="1:20" x14ac:dyDescent="0.3">
      <c r="A484">
        <v>483</v>
      </c>
      <c r="B484" s="106" t="s">
        <v>1061</v>
      </c>
      <c r="C484" s="106" t="s">
        <v>791</v>
      </c>
      <c r="D484" s="106" t="s">
        <v>792</v>
      </c>
      <c r="E484" s="107">
        <v>46027.484201388892</v>
      </c>
      <c r="F484" s="140" t="s">
        <v>1045</v>
      </c>
      <c r="G484" s="92">
        <v>80</v>
      </c>
      <c r="H484" s="92">
        <v>0</v>
      </c>
      <c r="I484" s="100">
        <v>0</v>
      </c>
      <c r="J484" s="92">
        <v>0</v>
      </c>
      <c r="K484" s="66" t="s">
        <v>989</v>
      </c>
      <c r="L484" s="93" t="s">
        <v>1009</v>
      </c>
      <c r="M484" s="93" t="s">
        <v>1009</v>
      </c>
      <c r="N484" s="94"/>
      <c r="O484" s="94"/>
      <c r="P484" s="94"/>
      <c r="Q484" s="28"/>
      <c r="R484" t="str">
        <f t="shared" si="7"/>
        <v>Abierto</v>
      </c>
      <c r="S484" s="28" t="s">
        <v>997</v>
      </c>
      <c r="T484" s="28"/>
    </row>
    <row r="485" spans="1:20" s="1" customFormat="1" x14ac:dyDescent="0.3">
      <c r="A485">
        <v>484</v>
      </c>
      <c r="B485" s="105" t="s">
        <v>1060</v>
      </c>
      <c r="C485" s="105" t="s">
        <v>793</v>
      </c>
      <c r="D485" s="105" t="s">
        <v>794</v>
      </c>
      <c r="E485" s="114">
        <v>46027.490601851852</v>
      </c>
      <c r="F485" s="139" t="s">
        <v>1024</v>
      </c>
      <c r="G485" s="71">
        <v>80</v>
      </c>
      <c r="H485" s="71">
        <v>40</v>
      </c>
      <c r="I485" s="81">
        <v>0</v>
      </c>
      <c r="J485" s="71">
        <v>40</v>
      </c>
      <c r="K485" s="66" t="s">
        <v>989</v>
      </c>
      <c r="L485" s="73" t="s">
        <v>1010</v>
      </c>
      <c r="M485" s="73" t="s">
        <v>1010</v>
      </c>
      <c r="N485" s="74">
        <v>46031</v>
      </c>
      <c r="O485" s="74">
        <v>46063</v>
      </c>
      <c r="P485" s="74"/>
      <c r="Q485" s="1">
        <v>1455</v>
      </c>
      <c r="R485" t="str">
        <f t="shared" si="7"/>
        <v>Abierto</v>
      </c>
      <c r="S485" s="1" t="s">
        <v>994</v>
      </c>
    </row>
    <row r="486" spans="1:20" x14ac:dyDescent="0.3">
      <c r="A486">
        <v>485</v>
      </c>
      <c r="B486" s="112" t="s">
        <v>1073</v>
      </c>
      <c r="C486" s="112" t="s">
        <v>795</v>
      </c>
      <c r="D486" s="112" t="s">
        <v>796</v>
      </c>
      <c r="E486" s="113">
        <v>46027.504756944443</v>
      </c>
      <c r="F486" s="143" t="s">
        <v>1018</v>
      </c>
      <c r="G486" s="44">
        <v>70</v>
      </c>
      <c r="H486" s="44">
        <v>0</v>
      </c>
      <c r="I486" s="20">
        <v>0</v>
      </c>
      <c r="J486" s="44">
        <v>0</v>
      </c>
      <c r="K486" s="66" t="s">
        <v>989</v>
      </c>
      <c r="L486" s="7" t="s">
        <v>1010</v>
      </c>
      <c r="M486" s="7" t="s">
        <v>1009</v>
      </c>
      <c r="R486" t="str">
        <f t="shared" si="7"/>
        <v>Abierto</v>
      </c>
      <c r="S486" t="s">
        <v>996</v>
      </c>
    </row>
    <row r="487" spans="1:20" x14ac:dyDescent="0.3">
      <c r="A487">
        <v>486</v>
      </c>
      <c r="B487" s="112" t="s">
        <v>1073</v>
      </c>
      <c r="C487" s="112" t="s">
        <v>797</v>
      </c>
      <c r="D487" s="112" t="s">
        <v>798</v>
      </c>
      <c r="E487" s="113">
        <v>46027.540578703702</v>
      </c>
      <c r="F487" s="143" t="s">
        <v>1018</v>
      </c>
      <c r="G487" s="44">
        <v>70</v>
      </c>
      <c r="H487" s="44">
        <v>0</v>
      </c>
      <c r="I487" s="20">
        <v>0</v>
      </c>
      <c r="J487" s="44">
        <v>0</v>
      </c>
      <c r="K487" s="66" t="s">
        <v>989</v>
      </c>
      <c r="L487" s="7" t="s">
        <v>1009</v>
      </c>
      <c r="M487" s="7" t="s">
        <v>1009</v>
      </c>
      <c r="R487" t="str">
        <f t="shared" si="7"/>
        <v>Abierto</v>
      </c>
      <c r="S487" t="s">
        <v>996</v>
      </c>
    </row>
    <row r="488" spans="1:20" x14ac:dyDescent="0.3">
      <c r="A488">
        <v>487</v>
      </c>
      <c r="B488" s="108" t="s">
        <v>1073</v>
      </c>
      <c r="C488" s="108" t="s">
        <v>799</v>
      </c>
      <c r="D488" s="108" t="s">
        <v>800</v>
      </c>
      <c r="E488" s="109">
        <v>46027.870821759258</v>
      </c>
      <c r="F488" s="141" t="s">
        <v>1016</v>
      </c>
      <c r="G488" s="76">
        <v>0</v>
      </c>
      <c r="H488" s="76">
        <v>0</v>
      </c>
      <c r="I488" s="89">
        <v>0</v>
      </c>
      <c r="J488" s="76">
        <v>0</v>
      </c>
      <c r="K488" s="66" t="s">
        <v>989</v>
      </c>
      <c r="L488" s="78" t="s">
        <v>1009</v>
      </c>
      <c r="M488" s="78" t="s">
        <v>1009</v>
      </c>
      <c r="N488" s="79"/>
      <c r="O488" s="79"/>
      <c r="P488" s="79"/>
      <c r="Q488" s="11"/>
      <c r="R488" t="str">
        <f t="shared" si="7"/>
        <v>Cerrado</v>
      </c>
      <c r="S488" s="11" t="s">
        <v>993</v>
      </c>
      <c r="T488" s="11"/>
    </row>
    <row r="489" spans="1:20" x14ac:dyDescent="0.3">
      <c r="A489">
        <v>488</v>
      </c>
      <c r="B489" s="105" t="s">
        <v>1057</v>
      </c>
      <c r="C489" s="1" t="s">
        <v>801</v>
      </c>
      <c r="D489" s="69">
        <v>1791366387</v>
      </c>
      <c r="E489" s="70">
        <v>46028</v>
      </c>
      <c r="F489" s="139" t="s">
        <v>1027</v>
      </c>
      <c r="G489" s="71">
        <v>90</v>
      </c>
      <c r="H489" s="71">
        <v>391.1</v>
      </c>
      <c r="I489" s="81">
        <v>0</v>
      </c>
      <c r="J489" s="71">
        <v>391.1</v>
      </c>
      <c r="K489" s="66" t="s">
        <v>989</v>
      </c>
      <c r="L489" s="73" t="s">
        <v>1010</v>
      </c>
      <c r="M489" s="73" t="s">
        <v>1010</v>
      </c>
      <c r="N489" s="74">
        <v>46031</v>
      </c>
      <c r="O489" s="74">
        <v>46063</v>
      </c>
      <c r="P489" s="74"/>
      <c r="Q489" s="1">
        <v>1454</v>
      </c>
      <c r="R489" t="str">
        <f t="shared" si="7"/>
        <v>Abierto</v>
      </c>
      <c r="S489" s="1" t="s">
        <v>994</v>
      </c>
      <c r="T489" s="1"/>
    </row>
    <row r="490" spans="1:20" x14ac:dyDescent="0.3">
      <c r="A490">
        <v>489</v>
      </c>
      <c r="B490" s="112" t="s">
        <v>1073</v>
      </c>
      <c r="C490" s="112" t="s">
        <v>802</v>
      </c>
      <c r="D490" s="112" t="s">
        <v>803</v>
      </c>
      <c r="E490" s="113">
        <v>46028.346331018518</v>
      </c>
      <c r="F490" s="143" t="s">
        <v>1016</v>
      </c>
      <c r="G490" s="44">
        <v>80</v>
      </c>
      <c r="H490" s="44">
        <v>0</v>
      </c>
      <c r="I490" s="20">
        <v>0</v>
      </c>
      <c r="J490" s="44">
        <v>0</v>
      </c>
      <c r="K490" s="66" t="s">
        <v>989</v>
      </c>
      <c r="L490" s="7" t="s">
        <v>1009</v>
      </c>
      <c r="M490" s="7" t="s">
        <v>1009</v>
      </c>
      <c r="R490" t="str">
        <f t="shared" si="7"/>
        <v>Abierto</v>
      </c>
      <c r="S490" t="s">
        <v>996</v>
      </c>
    </row>
    <row r="491" spans="1:20" x14ac:dyDescent="0.3">
      <c r="A491">
        <v>490</v>
      </c>
      <c r="B491" s="106" t="s">
        <v>1073</v>
      </c>
      <c r="C491" s="106" t="s">
        <v>804</v>
      </c>
      <c r="D491" s="106" t="s">
        <v>805</v>
      </c>
      <c r="E491" s="107">
        <v>46028.382430555554</v>
      </c>
      <c r="F491" s="140" t="s">
        <v>1016</v>
      </c>
      <c r="G491" s="92">
        <v>80</v>
      </c>
      <c r="H491" s="92">
        <v>162</v>
      </c>
      <c r="I491" s="100">
        <v>0</v>
      </c>
      <c r="J491" s="92">
        <v>162</v>
      </c>
      <c r="K491" s="66" t="s">
        <v>989</v>
      </c>
      <c r="L491" s="93" t="s">
        <v>1010</v>
      </c>
      <c r="M491" s="93" t="s">
        <v>1010</v>
      </c>
      <c r="N491" s="94"/>
      <c r="O491" s="94"/>
      <c r="P491" s="94"/>
      <c r="Q491" s="28"/>
      <c r="R491" t="str">
        <f t="shared" si="7"/>
        <v>Abierto</v>
      </c>
      <c r="S491" s="28" t="s">
        <v>997</v>
      </c>
      <c r="T491" s="28"/>
    </row>
    <row r="492" spans="1:20" x14ac:dyDescent="0.3">
      <c r="A492">
        <v>491</v>
      </c>
      <c r="B492" s="112" t="s">
        <v>1057</v>
      </c>
      <c r="C492" s="112" t="s">
        <v>806</v>
      </c>
      <c r="D492" s="112" t="s">
        <v>807</v>
      </c>
      <c r="E492" s="113">
        <v>46028.527604166673</v>
      </c>
      <c r="F492" s="143" t="s">
        <v>1018</v>
      </c>
      <c r="G492" s="44">
        <v>70</v>
      </c>
      <c r="H492" s="44">
        <v>0</v>
      </c>
      <c r="I492" s="20">
        <v>0</v>
      </c>
      <c r="J492" s="44">
        <v>0</v>
      </c>
      <c r="K492" s="66" t="s">
        <v>989</v>
      </c>
      <c r="L492" s="7" t="s">
        <v>1009</v>
      </c>
      <c r="M492" s="7" t="s">
        <v>1009</v>
      </c>
      <c r="R492" t="str">
        <f t="shared" si="7"/>
        <v>Abierto</v>
      </c>
      <c r="S492" t="s">
        <v>996</v>
      </c>
    </row>
    <row r="493" spans="1:20" x14ac:dyDescent="0.3">
      <c r="A493">
        <v>492</v>
      </c>
      <c r="B493" s="112" t="s">
        <v>1061</v>
      </c>
      <c r="C493" s="112" t="s">
        <v>808</v>
      </c>
      <c r="D493" s="112" t="s">
        <v>809</v>
      </c>
      <c r="E493" s="113">
        <v>46028.571539351848</v>
      </c>
      <c r="F493" s="143" t="s">
        <v>1018</v>
      </c>
      <c r="G493" s="44">
        <v>70</v>
      </c>
      <c r="H493" s="44">
        <v>0</v>
      </c>
      <c r="I493" s="20">
        <v>0</v>
      </c>
      <c r="J493" s="44">
        <v>0</v>
      </c>
      <c r="K493" s="66" t="s">
        <v>989</v>
      </c>
      <c r="L493" s="7" t="s">
        <v>1009</v>
      </c>
      <c r="M493" s="7" t="s">
        <v>1009</v>
      </c>
      <c r="R493" t="str">
        <f t="shared" si="7"/>
        <v>Abierto</v>
      </c>
      <c r="S493" t="s">
        <v>996</v>
      </c>
    </row>
    <row r="494" spans="1:20" x14ac:dyDescent="0.3">
      <c r="A494">
        <v>493</v>
      </c>
      <c r="B494" s="112" t="s">
        <v>1073</v>
      </c>
      <c r="C494" s="112" t="s">
        <v>810</v>
      </c>
      <c r="D494" s="112" t="s">
        <v>811</v>
      </c>
      <c r="E494" s="113">
        <v>46028.624722222223</v>
      </c>
      <c r="F494" s="143" t="s">
        <v>1018</v>
      </c>
      <c r="G494" s="44">
        <v>0</v>
      </c>
      <c r="H494" s="44">
        <v>0</v>
      </c>
      <c r="I494" s="20">
        <v>0</v>
      </c>
      <c r="J494" s="44">
        <v>0</v>
      </c>
      <c r="K494" s="66" t="s">
        <v>989</v>
      </c>
      <c r="L494" s="7" t="s">
        <v>1009</v>
      </c>
      <c r="M494" s="7" t="s">
        <v>1009</v>
      </c>
      <c r="R494" t="str">
        <f t="shared" si="7"/>
        <v>Abierto</v>
      </c>
      <c r="S494" t="s">
        <v>996</v>
      </c>
    </row>
    <row r="495" spans="1:20" x14ac:dyDescent="0.3">
      <c r="A495">
        <v>494</v>
      </c>
      <c r="B495" s="106" t="s">
        <v>1074</v>
      </c>
      <c r="C495" s="106" t="s">
        <v>812</v>
      </c>
      <c r="D495" s="106" t="s">
        <v>813</v>
      </c>
      <c r="E495" s="107">
        <v>46029.418854166674</v>
      </c>
      <c r="F495" s="140" t="s">
        <v>1018</v>
      </c>
      <c r="G495" s="92">
        <v>70</v>
      </c>
      <c r="H495" s="92">
        <v>0</v>
      </c>
      <c r="I495" s="100">
        <v>0</v>
      </c>
      <c r="J495" s="92">
        <v>0</v>
      </c>
      <c r="K495" s="66" t="s">
        <v>989</v>
      </c>
      <c r="L495" s="93" t="s">
        <v>1009</v>
      </c>
      <c r="M495" s="93" t="s">
        <v>1009</v>
      </c>
      <c r="N495" s="94"/>
      <c r="O495" s="94"/>
      <c r="P495" s="94"/>
      <c r="Q495" s="28"/>
      <c r="R495" t="str">
        <f t="shared" si="7"/>
        <v>Abierto</v>
      </c>
      <c r="S495" s="28" t="s">
        <v>997</v>
      </c>
      <c r="T495" s="28"/>
    </row>
    <row r="496" spans="1:20" s="12" customFormat="1" x14ac:dyDescent="0.3">
      <c r="A496">
        <v>495</v>
      </c>
      <c r="B496" s="110" t="s">
        <v>1073</v>
      </c>
      <c r="C496" s="110" t="s">
        <v>814</v>
      </c>
      <c r="D496" s="12" t="s">
        <v>815</v>
      </c>
      <c r="E496" s="111">
        <v>46029.477314814823</v>
      </c>
      <c r="F496" s="142" t="s">
        <v>1016</v>
      </c>
      <c r="G496" s="62">
        <v>80</v>
      </c>
      <c r="H496" s="62">
        <v>0</v>
      </c>
      <c r="I496" s="67">
        <v>0</v>
      </c>
      <c r="J496" s="62">
        <v>0</v>
      </c>
      <c r="K496" s="66" t="s">
        <v>989</v>
      </c>
      <c r="L496" s="64" t="s">
        <v>1009</v>
      </c>
      <c r="M496" s="64" t="s">
        <v>1009</v>
      </c>
      <c r="N496" s="65">
        <v>46031</v>
      </c>
      <c r="O496" s="65">
        <v>46063</v>
      </c>
      <c r="P496" s="65">
        <v>46038</v>
      </c>
      <c r="Q496" s="12">
        <v>1453</v>
      </c>
      <c r="R496" t="str">
        <f t="shared" si="7"/>
        <v>Cerrado</v>
      </c>
      <c r="S496" s="12" t="s">
        <v>995</v>
      </c>
    </row>
    <row r="497" spans="1:20" s="1" customFormat="1" x14ac:dyDescent="0.3">
      <c r="A497">
        <v>496</v>
      </c>
      <c r="B497" s="112" t="s">
        <v>1061</v>
      </c>
      <c r="C497" s="112" t="s">
        <v>816</v>
      </c>
      <c r="D497" s="112" t="s">
        <v>817</v>
      </c>
      <c r="E497" s="113">
        <v>46029.477314814823</v>
      </c>
      <c r="F497" s="143" t="s">
        <v>1045</v>
      </c>
      <c r="G497" s="44">
        <v>80</v>
      </c>
      <c r="H497" s="44">
        <v>0</v>
      </c>
      <c r="I497" s="20">
        <v>0</v>
      </c>
      <c r="J497" s="44">
        <v>0</v>
      </c>
      <c r="K497" s="66" t="s">
        <v>989</v>
      </c>
      <c r="L497" s="7" t="s">
        <v>1010</v>
      </c>
      <c r="M497" s="7" t="s">
        <v>1009</v>
      </c>
      <c r="N497" s="54"/>
      <c r="O497" s="54"/>
      <c r="P497" s="54"/>
      <c r="Q497"/>
      <c r="R497" t="str">
        <f t="shared" si="7"/>
        <v>Abierto</v>
      </c>
      <c r="S497" t="s">
        <v>996</v>
      </c>
      <c r="T497"/>
    </row>
    <row r="498" spans="1:20" s="1" customFormat="1" x14ac:dyDescent="0.3">
      <c r="A498">
        <v>497</v>
      </c>
      <c r="B498" s="28" t="s">
        <v>1073</v>
      </c>
      <c r="C498" s="28" t="s">
        <v>818</v>
      </c>
      <c r="D498" s="90" t="s">
        <v>819</v>
      </c>
      <c r="E498" s="107">
        <v>46029.625243055554</v>
      </c>
      <c r="F498" s="133" t="s">
        <v>1016</v>
      </c>
      <c r="G498" s="92">
        <v>80</v>
      </c>
      <c r="H498" s="92">
        <v>25</v>
      </c>
      <c r="I498" s="100">
        <v>0</v>
      </c>
      <c r="J498" s="92">
        <v>25</v>
      </c>
      <c r="K498" s="66" t="s">
        <v>989</v>
      </c>
      <c r="L498" s="93" t="s">
        <v>1009</v>
      </c>
      <c r="M498" s="93" t="s">
        <v>1010</v>
      </c>
      <c r="N498" s="94"/>
      <c r="O498" s="94"/>
      <c r="P498" s="94"/>
      <c r="Q498" s="28"/>
      <c r="R498" t="str">
        <f t="shared" si="7"/>
        <v>Abierto</v>
      </c>
      <c r="S498" s="28" t="s">
        <v>997</v>
      </c>
      <c r="T498" s="28"/>
    </row>
    <row r="499" spans="1:20" x14ac:dyDescent="0.3">
      <c r="A499">
        <v>498</v>
      </c>
      <c r="B499" s="27" t="s">
        <v>1061</v>
      </c>
      <c r="C499" t="s">
        <v>816</v>
      </c>
      <c r="D499" s="6" t="s">
        <v>817</v>
      </c>
      <c r="E499" s="113">
        <v>46029.625243055554</v>
      </c>
      <c r="F499" s="132" t="s">
        <v>1045</v>
      </c>
      <c r="G499" s="44">
        <v>80</v>
      </c>
      <c r="H499" s="44">
        <v>0</v>
      </c>
      <c r="I499" s="20">
        <v>0</v>
      </c>
      <c r="J499" s="44">
        <v>0</v>
      </c>
      <c r="K499" s="66" t="s">
        <v>989</v>
      </c>
      <c r="L499" s="7" t="s">
        <v>1010</v>
      </c>
      <c r="M499" s="7" t="s">
        <v>1009</v>
      </c>
      <c r="R499" t="str">
        <f t="shared" si="7"/>
        <v>Abierto</v>
      </c>
      <c r="S499" t="s">
        <v>996</v>
      </c>
    </row>
    <row r="500" spans="1:20" x14ac:dyDescent="0.3">
      <c r="A500">
        <v>499</v>
      </c>
      <c r="B500" s="112" t="s">
        <v>1059</v>
      </c>
      <c r="C500" s="112" t="s">
        <v>820</v>
      </c>
      <c r="D500" t="s">
        <v>821</v>
      </c>
      <c r="E500" s="113">
        <v>46029.625243055554</v>
      </c>
      <c r="F500" s="143" t="s">
        <v>1018</v>
      </c>
      <c r="G500" s="44">
        <v>70</v>
      </c>
      <c r="H500" s="44">
        <v>0</v>
      </c>
      <c r="I500" s="20">
        <v>0</v>
      </c>
      <c r="J500" s="44">
        <v>0</v>
      </c>
      <c r="K500" s="66" t="s">
        <v>989</v>
      </c>
      <c r="L500" s="7" t="s">
        <v>1009</v>
      </c>
      <c r="M500" s="7" t="s">
        <v>1009</v>
      </c>
      <c r="R500" t="str">
        <f t="shared" si="7"/>
        <v>Abierto</v>
      </c>
      <c r="S500" t="s">
        <v>996</v>
      </c>
    </row>
    <row r="501" spans="1:20" x14ac:dyDescent="0.3">
      <c r="A501">
        <v>500</v>
      </c>
      <c r="B501" t="s">
        <v>1059</v>
      </c>
      <c r="C501" t="s">
        <v>820</v>
      </c>
      <c r="D501" s="6" t="s">
        <v>821</v>
      </c>
      <c r="E501" s="113">
        <v>46029.625243055554</v>
      </c>
      <c r="F501" s="132" t="s">
        <v>1018</v>
      </c>
      <c r="G501" s="44">
        <v>70</v>
      </c>
      <c r="H501" s="44">
        <v>0</v>
      </c>
      <c r="I501" s="20">
        <v>0</v>
      </c>
      <c r="J501" s="44">
        <v>0</v>
      </c>
      <c r="K501" s="66" t="s">
        <v>989</v>
      </c>
      <c r="L501" s="7" t="s">
        <v>1009</v>
      </c>
      <c r="M501" s="7" t="s">
        <v>1009</v>
      </c>
      <c r="R501" t="str">
        <f t="shared" si="7"/>
        <v>Abierto</v>
      </c>
      <c r="S501" t="s">
        <v>996</v>
      </c>
    </row>
    <row r="502" spans="1:20" x14ac:dyDescent="0.3">
      <c r="A502">
        <v>501</v>
      </c>
      <c r="B502" t="s">
        <v>1073</v>
      </c>
      <c r="C502" t="s">
        <v>822</v>
      </c>
      <c r="D502" s="6" t="s">
        <v>823</v>
      </c>
      <c r="E502" s="49">
        <v>46030</v>
      </c>
      <c r="F502" s="132" t="s">
        <v>1018</v>
      </c>
      <c r="G502" s="44">
        <v>70</v>
      </c>
      <c r="H502" s="44">
        <v>0</v>
      </c>
      <c r="I502" s="20">
        <v>0</v>
      </c>
      <c r="J502" s="44">
        <v>0</v>
      </c>
      <c r="K502" s="66" t="s">
        <v>989</v>
      </c>
      <c r="L502" s="7" t="s">
        <v>1009</v>
      </c>
      <c r="M502" s="7" t="s">
        <v>1009</v>
      </c>
      <c r="R502" t="str">
        <f t="shared" si="7"/>
        <v>Abierto</v>
      </c>
      <c r="S502" t="s">
        <v>996</v>
      </c>
    </row>
    <row r="503" spans="1:20" x14ac:dyDescent="0.3">
      <c r="A503">
        <v>502</v>
      </c>
      <c r="B503" t="s">
        <v>1073</v>
      </c>
      <c r="C503" t="s">
        <v>824</v>
      </c>
      <c r="D503" s="6" t="s">
        <v>825</v>
      </c>
      <c r="E503" s="49">
        <v>46030</v>
      </c>
      <c r="F503" s="132" t="s">
        <v>1018</v>
      </c>
      <c r="G503" s="44">
        <v>70</v>
      </c>
      <c r="H503" s="44">
        <v>0</v>
      </c>
      <c r="I503" s="20">
        <v>0</v>
      </c>
      <c r="J503" s="44">
        <v>0</v>
      </c>
      <c r="K503" s="66" t="s">
        <v>989</v>
      </c>
      <c r="L503" s="7" t="s">
        <v>1010</v>
      </c>
      <c r="M503" s="7" t="s">
        <v>1009</v>
      </c>
      <c r="R503" t="str">
        <f t="shared" si="7"/>
        <v>Abierto</v>
      </c>
      <c r="S503" t="s">
        <v>996</v>
      </c>
    </row>
    <row r="504" spans="1:20" x14ac:dyDescent="0.3">
      <c r="A504">
        <v>503</v>
      </c>
      <c r="B504" t="s">
        <v>1073</v>
      </c>
      <c r="C504" t="s">
        <v>826</v>
      </c>
      <c r="D504" s="6" t="s">
        <v>827</v>
      </c>
      <c r="E504" s="49">
        <v>46030</v>
      </c>
      <c r="F504" s="132" t="s">
        <v>526</v>
      </c>
      <c r="G504" s="44">
        <v>80</v>
      </c>
      <c r="H504" s="44">
        <v>0</v>
      </c>
      <c r="I504" s="20">
        <v>0</v>
      </c>
      <c r="J504" s="44">
        <v>0</v>
      </c>
      <c r="K504" s="66" t="s">
        <v>989</v>
      </c>
      <c r="L504" s="7" t="s">
        <v>1009</v>
      </c>
      <c r="M504" s="7" t="s">
        <v>1009</v>
      </c>
      <c r="R504" t="str">
        <f t="shared" si="7"/>
        <v>Abierto</v>
      </c>
      <c r="S504" t="s">
        <v>996</v>
      </c>
    </row>
    <row r="505" spans="1:20" x14ac:dyDescent="0.3">
      <c r="A505">
        <v>504</v>
      </c>
      <c r="B505" t="s">
        <v>1073</v>
      </c>
      <c r="C505" t="s">
        <v>828</v>
      </c>
      <c r="D505" s="6" t="s">
        <v>829</v>
      </c>
      <c r="E505" s="49">
        <v>46030</v>
      </c>
      <c r="F505" s="132" t="s">
        <v>1049</v>
      </c>
      <c r="G505" s="44">
        <v>80</v>
      </c>
      <c r="H505" s="44">
        <v>0</v>
      </c>
      <c r="I505" s="20">
        <v>0</v>
      </c>
      <c r="J505" s="44">
        <v>0</v>
      </c>
      <c r="K505" s="66" t="s">
        <v>989</v>
      </c>
      <c r="L505" s="7" t="s">
        <v>1009</v>
      </c>
      <c r="M505" s="7" t="s">
        <v>1009</v>
      </c>
      <c r="R505" t="str">
        <f t="shared" si="7"/>
        <v>Abierto</v>
      </c>
      <c r="S505" t="s">
        <v>996</v>
      </c>
    </row>
    <row r="506" spans="1:20" x14ac:dyDescent="0.3">
      <c r="A506">
        <v>505</v>
      </c>
      <c r="B506" t="s">
        <v>1061</v>
      </c>
      <c r="C506" t="s">
        <v>830</v>
      </c>
      <c r="D506" s="6" t="s">
        <v>831</v>
      </c>
      <c r="E506" s="49">
        <v>46030</v>
      </c>
      <c r="F506" s="132" t="s">
        <v>1023</v>
      </c>
      <c r="G506" s="44">
        <v>80</v>
      </c>
      <c r="H506" s="44">
        <v>0</v>
      </c>
      <c r="I506" s="20">
        <v>0</v>
      </c>
      <c r="J506" s="44">
        <v>0</v>
      </c>
      <c r="K506" s="66" t="s">
        <v>989</v>
      </c>
      <c r="L506" s="7" t="s">
        <v>1009</v>
      </c>
      <c r="M506" s="7" t="s">
        <v>1009</v>
      </c>
      <c r="R506" t="str">
        <f t="shared" si="7"/>
        <v>Abierto</v>
      </c>
      <c r="S506" t="s">
        <v>996</v>
      </c>
    </row>
    <row r="507" spans="1:20" x14ac:dyDescent="0.3">
      <c r="A507">
        <v>506</v>
      </c>
      <c r="B507" t="s">
        <v>1073</v>
      </c>
      <c r="C507" t="s">
        <v>832</v>
      </c>
      <c r="D507" s="6" t="s">
        <v>833</v>
      </c>
      <c r="E507" s="49">
        <v>46031</v>
      </c>
      <c r="F507" s="132" t="s">
        <v>1016</v>
      </c>
      <c r="G507" s="44">
        <v>80</v>
      </c>
      <c r="H507" s="44">
        <v>0</v>
      </c>
      <c r="I507" s="20">
        <v>0</v>
      </c>
      <c r="J507" s="44">
        <v>0</v>
      </c>
      <c r="K507" s="66" t="s">
        <v>989</v>
      </c>
      <c r="L507" s="7" t="s">
        <v>1009</v>
      </c>
      <c r="M507" s="7" t="s">
        <v>1009</v>
      </c>
      <c r="R507" t="str">
        <f t="shared" si="7"/>
        <v>Abierto</v>
      </c>
      <c r="S507" t="s">
        <v>996</v>
      </c>
    </row>
    <row r="508" spans="1:20" x14ac:dyDescent="0.3">
      <c r="A508">
        <v>507</v>
      </c>
      <c r="B508" s="28" t="s">
        <v>1073</v>
      </c>
      <c r="C508" s="28" t="s">
        <v>834</v>
      </c>
      <c r="D508" s="115" t="s">
        <v>835</v>
      </c>
      <c r="E508" s="91">
        <v>46031</v>
      </c>
      <c r="F508" s="133" t="s">
        <v>1016</v>
      </c>
      <c r="G508" s="92">
        <v>80</v>
      </c>
      <c r="H508" s="92">
        <v>0</v>
      </c>
      <c r="I508" s="100">
        <v>0</v>
      </c>
      <c r="J508" s="92">
        <v>0</v>
      </c>
      <c r="K508" s="66" t="s">
        <v>989</v>
      </c>
      <c r="L508" s="93" t="s">
        <v>1009</v>
      </c>
      <c r="M508" s="93" t="s">
        <v>1009</v>
      </c>
      <c r="N508" s="94"/>
      <c r="O508" s="94"/>
      <c r="P508" s="94"/>
      <c r="Q508" s="28"/>
      <c r="R508" t="str">
        <f t="shared" si="7"/>
        <v>Abierto</v>
      </c>
      <c r="S508" s="28" t="s">
        <v>997</v>
      </c>
      <c r="T508" s="28"/>
    </row>
    <row r="509" spans="1:20" x14ac:dyDescent="0.3">
      <c r="A509">
        <v>508</v>
      </c>
      <c r="B509" s="28" t="s">
        <v>1074</v>
      </c>
      <c r="C509" s="28" t="s">
        <v>836</v>
      </c>
      <c r="D509" s="90" t="s">
        <v>837</v>
      </c>
      <c r="E509" s="91">
        <v>46031</v>
      </c>
      <c r="F509" s="133" t="s">
        <v>1042</v>
      </c>
      <c r="G509" s="92">
        <v>80</v>
      </c>
      <c r="H509" s="92">
        <v>0</v>
      </c>
      <c r="I509" s="100">
        <v>0</v>
      </c>
      <c r="J509" s="92">
        <v>0</v>
      </c>
      <c r="K509" s="66" t="s">
        <v>989</v>
      </c>
      <c r="L509" s="93" t="s">
        <v>1009</v>
      </c>
      <c r="M509" s="93" t="s">
        <v>1009</v>
      </c>
      <c r="N509" s="94"/>
      <c r="O509" s="94"/>
      <c r="P509" s="94"/>
      <c r="Q509" s="28"/>
      <c r="R509" t="str">
        <f t="shared" si="7"/>
        <v>Abierto</v>
      </c>
      <c r="S509" s="28" t="s">
        <v>997</v>
      </c>
      <c r="T509" s="28"/>
    </row>
    <row r="510" spans="1:20" x14ac:dyDescent="0.3">
      <c r="A510">
        <v>509</v>
      </c>
      <c r="B510" t="s">
        <v>1060</v>
      </c>
      <c r="C510" t="s">
        <v>838</v>
      </c>
      <c r="D510" s="6" t="s">
        <v>839</v>
      </c>
      <c r="E510" s="49">
        <v>46031</v>
      </c>
      <c r="F510" s="132" t="s">
        <v>1049</v>
      </c>
      <c r="G510" s="44">
        <v>80</v>
      </c>
      <c r="H510" s="44">
        <v>0</v>
      </c>
      <c r="I510" s="20">
        <v>0</v>
      </c>
      <c r="J510" s="44">
        <v>0</v>
      </c>
      <c r="K510" s="66" t="s">
        <v>989</v>
      </c>
      <c r="L510" s="7" t="s">
        <v>1009</v>
      </c>
      <c r="M510" s="7" t="s">
        <v>1009</v>
      </c>
      <c r="R510" t="str">
        <f t="shared" si="7"/>
        <v>Abierto</v>
      </c>
      <c r="S510" t="s">
        <v>996</v>
      </c>
    </row>
    <row r="511" spans="1:20" x14ac:dyDescent="0.3">
      <c r="A511">
        <v>510</v>
      </c>
      <c r="B511" s="12" t="s">
        <v>1059</v>
      </c>
      <c r="C511" s="12" t="s">
        <v>844</v>
      </c>
      <c r="D511" s="60" t="s">
        <v>845</v>
      </c>
      <c r="E511" s="61">
        <v>46032</v>
      </c>
      <c r="F511" s="128" t="s">
        <v>1049</v>
      </c>
      <c r="G511" s="62">
        <v>80</v>
      </c>
      <c r="H511" s="62">
        <v>116</v>
      </c>
      <c r="I511" s="67">
        <v>0</v>
      </c>
      <c r="J511" s="62">
        <v>116</v>
      </c>
      <c r="K511" s="66" t="s">
        <v>989</v>
      </c>
      <c r="L511" s="64" t="s">
        <v>1010</v>
      </c>
      <c r="M511" s="64" t="s">
        <v>1010</v>
      </c>
      <c r="N511" s="65">
        <v>46031</v>
      </c>
      <c r="O511" s="65">
        <v>46063</v>
      </c>
      <c r="P511" s="65">
        <v>46049</v>
      </c>
      <c r="Q511" s="12">
        <v>1498</v>
      </c>
      <c r="R511" t="str">
        <f t="shared" si="7"/>
        <v>Cerrado</v>
      </c>
      <c r="S511" s="12" t="s">
        <v>995</v>
      </c>
      <c r="T511" s="12"/>
    </row>
    <row r="512" spans="1:20" x14ac:dyDescent="0.3">
      <c r="A512">
        <v>511</v>
      </c>
      <c r="B512" t="s">
        <v>1061</v>
      </c>
      <c r="C512" t="s">
        <v>840</v>
      </c>
      <c r="D512" s="6" t="s">
        <v>841</v>
      </c>
      <c r="E512" s="49">
        <v>46032</v>
      </c>
      <c r="F512" s="132" t="s">
        <v>1018</v>
      </c>
      <c r="G512" s="44">
        <v>70</v>
      </c>
      <c r="H512" s="44">
        <v>0</v>
      </c>
      <c r="I512" s="20">
        <v>0</v>
      </c>
      <c r="J512" s="44">
        <v>0</v>
      </c>
      <c r="K512" s="66" t="s">
        <v>989</v>
      </c>
      <c r="L512" s="7" t="s">
        <v>1009</v>
      </c>
      <c r="M512" s="7" t="s">
        <v>1009</v>
      </c>
      <c r="R512" t="str">
        <f t="shared" si="7"/>
        <v>Abierto</v>
      </c>
      <c r="S512" t="s">
        <v>996</v>
      </c>
    </row>
    <row r="513" spans="1:20" x14ac:dyDescent="0.3">
      <c r="A513">
        <v>512</v>
      </c>
      <c r="B513" t="s">
        <v>1061</v>
      </c>
      <c r="C513" t="s">
        <v>842</v>
      </c>
      <c r="D513" s="6" t="s">
        <v>843</v>
      </c>
      <c r="E513" s="49">
        <v>46032</v>
      </c>
      <c r="F513" s="132" t="s">
        <v>1045</v>
      </c>
      <c r="G513" s="44">
        <v>80</v>
      </c>
      <c r="H513" s="44">
        <v>0</v>
      </c>
      <c r="I513" s="20">
        <v>0</v>
      </c>
      <c r="J513" s="44">
        <v>0</v>
      </c>
      <c r="K513" s="66" t="s">
        <v>989</v>
      </c>
      <c r="L513" s="7" t="s">
        <v>1009</v>
      </c>
      <c r="M513" s="7" t="s">
        <v>1009</v>
      </c>
      <c r="R513" t="str">
        <f t="shared" si="7"/>
        <v>Abierto</v>
      </c>
      <c r="S513" t="s">
        <v>996</v>
      </c>
    </row>
    <row r="514" spans="1:20" x14ac:dyDescent="0.3">
      <c r="A514">
        <v>513</v>
      </c>
      <c r="B514" s="28" t="s">
        <v>1071</v>
      </c>
      <c r="C514" s="28" t="s">
        <v>846</v>
      </c>
      <c r="D514" s="90" t="s">
        <v>847</v>
      </c>
      <c r="E514" s="91">
        <v>46033</v>
      </c>
      <c r="F514" s="133" t="s">
        <v>1018</v>
      </c>
      <c r="G514" s="92">
        <v>70</v>
      </c>
      <c r="H514" s="92">
        <v>25</v>
      </c>
      <c r="I514" s="100">
        <v>0</v>
      </c>
      <c r="J514" s="92">
        <v>25</v>
      </c>
      <c r="K514" s="66" t="s">
        <v>989</v>
      </c>
      <c r="L514" s="93" t="s">
        <v>1009</v>
      </c>
      <c r="M514" s="93" t="s">
        <v>1010</v>
      </c>
      <c r="N514" s="94"/>
      <c r="O514" s="94"/>
      <c r="P514" s="94"/>
      <c r="Q514" s="28"/>
      <c r="R514" t="str">
        <f t="shared" ref="R514:R571" si="8">IF(OR(S514="On Going", S514="Refacturado", S514="Para Refacturar"), "Abierto", IF(OR(S514="Cobrado", S514="No Fee"), "Cerrado", ""))</f>
        <v>Abierto</v>
      </c>
      <c r="S514" s="28" t="s">
        <v>997</v>
      </c>
      <c r="T514" s="28"/>
    </row>
    <row r="515" spans="1:20" x14ac:dyDescent="0.3">
      <c r="A515">
        <v>514</v>
      </c>
      <c r="B515" t="s">
        <v>1074</v>
      </c>
      <c r="C515" t="s">
        <v>848</v>
      </c>
      <c r="D515" s="6" t="s">
        <v>849</v>
      </c>
      <c r="E515" s="49">
        <v>46033</v>
      </c>
      <c r="F515" s="132" t="s">
        <v>526</v>
      </c>
      <c r="G515" s="44">
        <v>80</v>
      </c>
      <c r="H515" s="44">
        <v>0</v>
      </c>
      <c r="I515" s="20">
        <v>0</v>
      </c>
      <c r="J515" s="44">
        <v>0</v>
      </c>
      <c r="K515" s="66" t="s">
        <v>989</v>
      </c>
      <c r="L515" s="7" t="s">
        <v>1009</v>
      </c>
      <c r="M515" s="7" t="s">
        <v>1009</v>
      </c>
      <c r="R515" t="str">
        <f t="shared" si="8"/>
        <v>Abierto</v>
      </c>
      <c r="S515" t="s">
        <v>996</v>
      </c>
    </row>
    <row r="516" spans="1:20" x14ac:dyDescent="0.3">
      <c r="A516">
        <v>515</v>
      </c>
      <c r="B516" t="s">
        <v>1074</v>
      </c>
      <c r="C516" t="s">
        <v>850</v>
      </c>
      <c r="D516" s="6" t="s">
        <v>851</v>
      </c>
      <c r="E516" s="49">
        <v>46033</v>
      </c>
      <c r="F516" s="132" t="s">
        <v>1018</v>
      </c>
      <c r="G516" s="44">
        <v>70</v>
      </c>
      <c r="H516" s="44">
        <v>0</v>
      </c>
      <c r="I516" s="20">
        <v>0</v>
      </c>
      <c r="J516" s="44">
        <v>0</v>
      </c>
      <c r="K516" s="66" t="s">
        <v>989</v>
      </c>
      <c r="L516" s="7" t="s">
        <v>1009</v>
      </c>
      <c r="M516" s="7" t="s">
        <v>1009</v>
      </c>
      <c r="R516" t="str">
        <f t="shared" si="8"/>
        <v>Abierto</v>
      </c>
      <c r="S516" t="s">
        <v>996</v>
      </c>
    </row>
    <row r="517" spans="1:20" x14ac:dyDescent="0.3">
      <c r="A517">
        <v>516</v>
      </c>
      <c r="B517" t="s">
        <v>1057</v>
      </c>
      <c r="C517" t="s">
        <v>852</v>
      </c>
      <c r="D517" s="6">
        <v>2113338498</v>
      </c>
      <c r="E517" s="49">
        <v>46034</v>
      </c>
      <c r="F517" s="132" t="s">
        <v>1025</v>
      </c>
      <c r="G517" s="44">
        <v>90</v>
      </c>
      <c r="H517" s="44">
        <v>0</v>
      </c>
      <c r="I517" s="20">
        <v>0</v>
      </c>
      <c r="J517" s="44">
        <v>0</v>
      </c>
      <c r="K517" s="66" t="s">
        <v>989</v>
      </c>
      <c r="L517" s="7" t="s">
        <v>1009</v>
      </c>
      <c r="M517" s="7" t="s">
        <v>1009</v>
      </c>
      <c r="R517" t="str">
        <f t="shared" si="8"/>
        <v>Abierto</v>
      </c>
      <c r="S517" t="s">
        <v>996</v>
      </c>
    </row>
    <row r="518" spans="1:20" x14ac:dyDescent="0.3">
      <c r="A518">
        <v>517</v>
      </c>
      <c r="B518" t="s">
        <v>1057</v>
      </c>
      <c r="C518" t="s">
        <v>853</v>
      </c>
      <c r="D518" s="6">
        <v>3147914563</v>
      </c>
      <c r="E518" s="49">
        <v>46034</v>
      </c>
      <c r="F518" s="132" t="s">
        <v>1013</v>
      </c>
      <c r="G518" s="44">
        <v>90</v>
      </c>
      <c r="H518" s="44">
        <v>0</v>
      </c>
      <c r="I518" s="20">
        <v>0</v>
      </c>
      <c r="J518" s="44">
        <v>0</v>
      </c>
      <c r="K518" s="66" t="s">
        <v>989</v>
      </c>
      <c r="L518" s="7" t="s">
        <v>1009</v>
      </c>
      <c r="M518" s="7" t="s">
        <v>1009</v>
      </c>
      <c r="R518" t="str">
        <f t="shared" si="8"/>
        <v>Abierto</v>
      </c>
      <c r="S518" t="s">
        <v>996</v>
      </c>
    </row>
    <row r="519" spans="1:20" x14ac:dyDescent="0.3">
      <c r="A519">
        <v>518</v>
      </c>
      <c r="B519" t="s">
        <v>1073</v>
      </c>
      <c r="C519" t="s">
        <v>854</v>
      </c>
      <c r="D519" s="6" t="s">
        <v>855</v>
      </c>
      <c r="E519" s="49">
        <v>46034</v>
      </c>
      <c r="F519" s="132" t="s">
        <v>1018</v>
      </c>
      <c r="G519" s="44">
        <v>70</v>
      </c>
      <c r="H519" s="44">
        <v>0</v>
      </c>
      <c r="I519" s="20">
        <v>0</v>
      </c>
      <c r="J519" s="44">
        <v>0</v>
      </c>
      <c r="K519" s="66" t="s">
        <v>989</v>
      </c>
      <c r="L519" s="7" t="s">
        <v>1009</v>
      </c>
      <c r="M519" s="7" t="s">
        <v>1009</v>
      </c>
      <c r="R519" t="str">
        <f t="shared" si="8"/>
        <v>Abierto</v>
      </c>
      <c r="S519" t="s">
        <v>996</v>
      </c>
    </row>
    <row r="520" spans="1:20" x14ac:dyDescent="0.3">
      <c r="A520">
        <v>519</v>
      </c>
      <c r="B520" t="s">
        <v>1073</v>
      </c>
      <c r="C520" t="s">
        <v>856</v>
      </c>
      <c r="D520" s="6" t="s">
        <v>857</v>
      </c>
      <c r="E520" s="49">
        <v>46034</v>
      </c>
      <c r="F520" s="132" t="s">
        <v>526</v>
      </c>
      <c r="G520" s="44">
        <v>80</v>
      </c>
      <c r="H520" s="44">
        <v>0</v>
      </c>
      <c r="I520" s="20">
        <v>0</v>
      </c>
      <c r="J520" s="44">
        <v>0</v>
      </c>
      <c r="K520" s="66" t="s">
        <v>989</v>
      </c>
      <c r="L520" s="7" t="s">
        <v>1010</v>
      </c>
      <c r="M520" s="7" t="s">
        <v>1009</v>
      </c>
      <c r="R520" t="str">
        <f t="shared" si="8"/>
        <v>Abierto</v>
      </c>
      <c r="S520" t="s">
        <v>996</v>
      </c>
    </row>
    <row r="521" spans="1:20" x14ac:dyDescent="0.3">
      <c r="A521">
        <v>520</v>
      </c>
      <c r="B521" t="s">
        <v>1073</v>
      </c>
      <c r="C521" t="s">
        <v>858</v>
      </c>
      <c r="D521" s="6" t="s">
        <v>859</v>
      </c>
      <c r="E521" s="49">
        <v>46034</v>
      </c>
      <c r="F521" s="132" t="s">
        <v>1049</v>
      </c>
      <c r="G521" s="44">
        <v>80</v>
      </c>
      <c r="H521" s="44">
        <v>0</v>
      </c>
      <c r="I521" s="20">
        <v>0</v>
      </c>
      <c r="J521" s="44">
        <v>0</v>
      </c>
      <c r="K521" s="66" t="s">
        <v>989</v>
      </c>
      <c r="L521" s="7" t="s">
        <v>1010</v>
      </c>
      <c r="M521" s="7" t="s">
        <v>1009</v>
      </c>
      <c r="R521" t="str">
        <f t="shared" si="8"/>
        <v>Abierto</v>
      </c>
      <c r="S521" t="s">
        <v>996</v>
      </c>
    </row>
    <row r="522" spans="1:20" x14ac:dyDescent="0.3">
      <c r="A522">
        <v>521</v>
      </c>
      <c r="B522" t="s">
        <v>1061</v>
      </c>
      <c r="C522" t="s">
        <v>860</v>
      </c>
      <c r="D522" s="6" t="s">
        <v>861</v>
      </c>
      <c r="E522" s="49">
        <v>46034</v>
      </c>
      <c r="F522" s="132" t="s">
        <v>1045</v>
      </c>
      <c r="G522" s="44">
        <v>80</v>
      </c>
      <c r="H522" s="44">
        <v>0</v>
      </c>
      <c r="I522" s="20">
        <v>0</v>
      </c>
      <c r="J522" s="44">
        <v>0</v>
      </c>
      <c r="K522" s="66" t="s">
        <v>989</v>
      </c>
      <c r="L522" s="7" t="s">
        <v>1009</v>
      </c>
      <c r="M522" s="7" t="s">
        <v>1009</v>
      </c>
      <c r="R522" t="str">
        <f t="shared" si="8"/>
        <v>Abierto</v>
      </c>
      <c r="S522" t="s">
        <v>996</v>
      </c>
    </row>
    <row r="523" spans="1:20" x14ac:dyDescent="0.3">
      <c r="A523">
        <v>522</v>
      </c>
      <c r="B523" s="11" t="s">
        <v>1063</v>
      </c>
      <c r="C523" s="11" t="s">
        <v>862</v>
      </c>
      <c r="D523" s="9" t="s">
        <v>1011</v>
      </c>
      <c r="E523" s="75">
        <v>46034</v>
      </c>
      <c r="F523" s="130" t="s">
        <v>1044</v>
      </c>
      <c r="G523" s="76">
        <v>80</v>
      </c>
      <c r="H523" s="76">
        <v>0</v>
      </c>
      <c r="I523" s="89">
        <v>0</v>
      </c>
      <c r="J523" s="76">
        <v>0</v>
      </c>
      <c r="K523" s="66" t="s">
        <v>989</v>
      </c>
      <c r="L523" s="78" t="s">
        <v>1009</v>
      </c>
      <c r="M523" s="78" t="s">
        <v>1009</v>
      </c>
      <c r="N523" s="79"/>
      <c r="O523" s="79"/>
      <c r="P523" s="79"/>
      <c r="Q523" s="11"/>
      <c r="R523" t="str">
        <f t="shared" si="8"/>
        <v>Cerrado</v>
      </c>
      <c r="S523" s="11" t="s">
        <v>993</v>
      </c>
      <c r="T523" s="11"/>
    </row>
    <row r="524" spans="1:20" x14ac:dyDescent="0.3">
      <c r="A524">
        <v>523</v>
      </c>
      <c r="B524" t="s">
        <v>1061</v>
      </c>
      <c r="C524" t="s">
        <v>863</v>
      </c>
      <c r="D524" s="6" t="s">
        <v>864</v>
      </c>
      <c r="E524" s="49">
        <v>46035</v>
      </c>
      <c r="F524" s="132" t="s">
        <v>1045</v>
      </c>
      <c r="G524" s="44">
        <v>80</v>
      </c>
      <c r="H524" s="44">
        <v>0</v>
      </c>
      <c r="I524" s="20">
        <v>0</v>
      </c>
      <c r="J524" s="44">
        <v>0</v>
      </c>
      <c r="K524" s="66" t="s">
        <v>989</v>
      </c>
      <c r="L524" s="7" t="s">
        <v>1009</v>
      </c>
      <c r="M524" s="7" t="s">
        <v>1009</v>
      </c>
      <c r="R524" t="str">
        <f t="shared" si="8"/>
        <v>Abierto</v>
      </c>
      <c r="S524" t="s">
        <v>996</v>
      </c>
    </row>
    <row r="525" spans="1:20" x14ac:dyDescent="0.3">
      <c r="A525">
        <v>524</v>
      </c>
      <c r="B525" t="s">
        <v>1073</v>
      </c>
      <c r="C525" t="s">
        <v>865</v>
      </c>
      <c r="D525" s="6" t="s">
        <v>866</v>
      </c>
      <c r="E525" s="49" t="s">
        <v>867</v>
      </c>
      <c r="F525" s="132" t="s">
        <v>1016</v>
      </c>
      <c r="G525" s="44">
        <v>80</v>
      </c>
      <c r="H525" s="44">
        <v>0</v>
      </c>
      <c r="I525" s="20">
        <v>0</v>
      </c>
      <c r="J525" s="44">
        <v>0</v>
      </c>
      <c r="K525" s="66" t="s">
        <v>989</v>
      </c>
      <c r="L525" s="7" t="s">
        <v>1009</v>
      </c>
      <c r="M525" s="7" t="s">
        <v>1009</v>
      </c>
      <c r="R525" t="str">
        <f t="shared" si="8"/>
        <v>Abierto</v>
      </c>
      <c r="S525" t="s">
        <v>996</v>
      </c>
    </row>
    <row r="526" spans="1:20" x14ac:dyDescent="0.3">
      <c r="A526">
        <v>525</v>
      </c>
      <c r="B526" t="s">
        <v>1073</v>
      </c>
      <c r="C526" t="s">
        <v>868</v>
      </c>
      <c r="D526" s="6" t="s">
        <v>869</v>
      </c>
      <c r="E526" s="49" t="s">
        <v>867</v>
      </c>
      <c r="F526" s="132" t="s">
        <v>1049</v>
      </c>
      <c r="G526" s="44">
        <v>80</v>
      </c>
      <c r="H526" s="44">
        <v>0</v>
      </c>
      <c r="I526" s="20">
        <v>0</v>
      </c>
      <c r="J526" s="44">
        <v>0</v>
      </c>
      <c r="K526" s="66" t="s">
        <v>989</v>
      </c>
      <c r="L526" s="7" t="s">
        <v>1010</v>
      </c>
      <c r="M526" s="7" t="s">
        <v>1009</v>
      </c>
      <c r="R526" t="str">
        <f t="shared" si="8"/>
        <v>Abierto</v>
      </c>
      <c r="S526" t="s">
        <v>996</v>
      </c>
    </row>
    <row r="527" spans="1:20" x14ac:dyDescent="0.3">
      <c r="A527">
        <v>526</v>
      </c>
      <c r="B527" t="s">
        <v>1073</v>
      </c>
      <c r="C527" t="s">
        <v>870</v>
      </c>
      <c r="D527" s="6" t="s">
        <v>871</v>
      </c>
      <c r="E527" s="49" t="s">
        <v>867</v>
      </c>
      <c r="F527" s="132" t="s">
        <v>1048</v>
      </c>
      <c r="G527" s="44">
        <v>80</v>
      </c>
      <c r="H527" s="44">
        <v>0</v>
      </c>
      <c r="I527" s="20">
        <v>0</v>
      </c>
      <c r="J527" s="44">
        <v>0</v>
      </c>
      <c r="K527" s="66" t="s">
        <v>989</v>
      </c>
      <c r="L527" s="7" t="s">
        <v>1009</v>
      </c>
      <c r="M527" s="7" t="s">
        <v>1009</v>
      </c>
      <c r="R527" t="str">
        <f t="shared" si="8"/>
        <v>Abierto</v>
      </c>
      <c r="S527" t="s">
        <v>996</v>
      </c>
    </row>
    <row r="528" spans="1:20" x14ac:dyDescent="0.3">
      <c r="A528">
        <v>527</v>
      </c>
      <c r="B528" t="s">
        <v>1073</v>
      </c>
      <c r="C528" t="s">
        <v>872</v>
      </c>
      <c r="D528" s="6" t="s">
        <v>873</v>
      </c>
      <c r="E528" s="49" t="s">
        <v>867</v>
      </c>
      <c r="F528" s="132" t="s">
        <v>526</v>
      </c>
      <c r="G528" s="44">
        <v>80</v>
      </c>
      <c r="H528" s="44">
        <v>0</v>
      </c>
      <c r="I528" s="20">
        <v>0</v>
      </c>
      <c r="J528" s="44">
        <v>0</v>
      </c>
      <c r="K528" s="66" t="s">
        <v>989</v>
      </c>
      <c r="L528" s="7" t="s">
        <v>1009</v>
      </c>
      <c r="M528" s="7" t="s">
        <v>1009</v>
      </c>
      <c r="R528" t="str">
        <f t="shared" si="8"/>
        <v>Abierto</v>
      </c>
      <c r="S528" t="s">
        <v>996</v>
      </c>
    </row>
    <row r="529" spans="1:20" x14ac:dyDescent="0.3">
      <c r="A529">
        <v>528</v>
      </c>
      <c r="B529" t="s">
        <v>1073</v>
      </c>
      <c r="C529" t="s">
        <v>874</v>
      </c>
      <c r="D529" s="6" t="s">
        <v>875</v>
      </c>
      <c r="E529" s="49" t="s">
        <v>867</v>
      </c>
      <c r="F529" s="132" t="s">
        <v>1049</v>
      </c>
      <c r="G529" s="44">
        <v>80</v>
      </c>
      <c r="H529" s="44">
        <v>0</v>
      </c>
      <c r="I529" s="20">
        <v>0</v>
      </c>
      <c r="J529" s="44">
        <v>0</v>
      </c>
      <c r="K529" s="66" t="s">
        <v>989</v>
      </c>
      <c r="L529" s="7" t="s">
        <v>1010</v>
      </c>
      <c r="M529" s="7" t="s">
        <v>1009</v>
      </c>
      <c r="R529" t="str">
        <f t="shared" si="8"/>
        <v>Abierto</v>
      </c>
      <c r="S529" t="s">
        <v>996</v>
      </c>
    </row>
    <row r="530" spans="1:20" x14ac:dyDescent="0.3">
      <c r="A530">
        <v>529</v>
      </c>
      <c r="B530" t="s">
        <v>1073</v>
      </c>
      <c r="C530" t="s">
        <v>876</v>
      </c>
      <c r="D530" s="6" t="s">
        <v>877</v>
      </c>
      <c r="E530" s="49" t="s">
        <v>867</v>
      </c>
      <c r="F530" s="132" t="s">
        <v>1049</v>
      </c>
      <c r="G530" s="44">
        <v>80</v>
      </c>
      <c r="H530" s="44">
        <v>0</v>
      </c>
      <c r="I530" s="20">
        <v>0</v>
      </c>
      <c r="J530" s="44">
        <v>0</v>
      </c>
      <c r="K530" s="66" t="s">
        <v>989</v>
      </c>
      <c r="L530" s="7" t="s">
        <v>1009</v>
      </c>
      <c r="M530" s="7" t="s">
        <v>1009</v>
      </c>
      <c r="R530" t="str">
        <f t="shared" si="8"/>
        <v>Abierto</v>
      </c>
      <c r="S530" t="s">
        <v>996</v>
      </c>
    </row>
    <row r="531" spans="1:20" x14ac:dyDescent="0.3">
      <c r="A531">
        <v>530</v>
      </c>
      <c r="B531" t="s">
        <v>1073</v>
      </c>
      <c r="C531" t="s">
        <v>878</v>
      </c>
      <c r="D531" s="6" t="s">
        <v>879</v>
      </c>
      <c r="E531" s="49" t="s">
        <v>880</v>
      </c>
      <c r="F531" s="132" t="s">
        <v>1049</v>
      </c>
      <c r="G531" s="44">
        <v>80</v>
      </c>
      <c r="H531" s="44">
        <v>0</v>
      </c>
      <c r="I531" s="20">
        <v>0</v>
      </c>
      <c r="J531" s="44">
        <v>0</v>
      </c>
      <c r="K531" s="66" t="s">
        <v>989</v>
      </c>
      <c r="L531" s="7" t="s">
        <v>1009</v>
      </c>
      <c r="M531" s="7" t="s">
        <v>1009</v>
      </c>
      <c r="R531" t="str">
        <f t="shared" si="8"/>
        <v>Abierto</v>
      </c>
      <c r="S531" t="s">
        <v>996</v>
      </c>
    </row>
    <row r="532" spans="1:20" x14ac:dyDescent="0.3">
      <c r="A532">
        <v>531</v>
      </c>
      <c r="B532" t="s">
        <v>1073</v>
      </c>
      <c r="C532" t="s">
        <v>881</v>
      </c>
      <c r="D532" s="6" t="s">
        <v>882</v>
      </c>
      <c r="E532" s="49" t="s">
        <v>880</v>
      </c>
      <c r="F532" s="132" t="s">
        <v>1016</v>
      </c>
      <c r="G532" s="44">
        <v>80</v>
      </c>
      <c r="H532" s="44">
        <v>0</v>
      </c>
      <c r="I532" s="20">
        <v>0</v>
      </c>
      <c r="J532" s="44">
        <v>0</v>
      </c>
      <c r="K532" s="66" t="s">
        <v>989</v>
      </c>
      <c r="L532" s="7" t="s">
        <v>1009</v>
      </c>
      <c r="M532" s="7" t="s">
        <v>1009</v>
      </c>
      <c r="R532" t="str">
        <f t="shared" si="8"/>
        <v>Abierto</v>
      </c>
      <c r="S532" t="s">
        <v>996</v>
      </c>
    </row>
    <row r="533" spans="1:20" x14ac:dyDescent="0.3">
      <c r="A533">
        <v>532</v>
      </c>
      <c r="B533" t="s">
        <v>1073</v>
      </c>
      <c r="C533" t="s">
        <v>883</v>
      </c>
      <c r="D533" s="6" t="s">
        <v>884</v>
      </c>
      <c r="E533" s="49" t="s">
        <v>880</v>
      </c>
      <c r="F533" s="132" t="s">
        <v>1018</v>
      </c>
      <c r="G533" s="44">
        <v>70</v>
      </c>
      <c r="H533" s="44">
        <v>0</v>
      </c>
      <c r="I533" s="20">
        <v>0</v>
      </c>
      <c r="J533" s="44">
        <v>0</v>
      </c>
      <c r="K533" s="66" t="s">
        <v>989</v>
      </c>
      <c r="L533" s="7" t="s">
        <v>1009</v>
      </c>
      <c r="M533" s="7" t="s">
        <v>1009</v>
      </c>
      <c r="R533" t="str">
        <f t="shared" si="8"/>
        <v>Abierto</v>
      </c>
      <c r="S533" t="s">
        <v>996</v>
      </c>
    </row>
    <row r="534" spans="1:20" x14ac:dyDescent="0.3">
      <c r="A534">
        <v>533</v>
      </c>
      <c r="B534" t="s">
        <v>1074</v>
      </c>
      <c r="C534" t="s">
        <v>885</v>
      </c>
      <c r="D534" s="6" t="s">
        <v>886</v>
      </c>
      <c r="E534" s="49" t="s">
        <v>880</v>
      </c>
      <c r="F534" s="132" t="s">
        <v>1018</v>
      </c>
      <c r="G534" s="44">
        <v>70</v>
      </c>
      <c r="H534" s="44">
        <v>0</v>
      </c>
      <c r="I534" s="20">
        <v>0</v>
      </c>
      <c r="J534" s="44">
        <v>0</v>
      </c>
      <c r="K534" s="66" t="s">
        <v>989</v>
      </c>
      <c r="L534" s="7" t="s">
        <v>1009</v>
      </c>
      <c r="M534" s="7" t="s">
        <v>1009</v>
      </c>
      <c r="R534" t="str">
        <f t="shared" si="8"/>
        <v>Abierto</v>
      </c>
      <c r="S534" t="s">
        <v>996</v>
      </c>
    </row>
    <row r="535" spans="1:20" x14ac:dyDescent="0.3">
      <c r="A535">
        <v>534</v>
      </c>
      <c r="B535" t="s">
        <v>1061</v>
      </c>
      <c r="C535" t="s">
        <v>887</v>
      </c>
      <c r="D535" s="6" t="s">
        <v>888</v>
      </c>
      <c r="E535" s="49" t="s">
        <v>889</v>
      </c>
      <c r="F535" s="132" t="s">
        <v>1045</v>
      </c>
      <c r="G535" s="44">
        <v>80</v>
      </c>
      <c r="H535" s="44">
        <v>0</v>
      </c>
      <c r="I535" s="20">
        <v>0</v>
      </c>
      <c r="J535" s="44">
        <v>0</v>
      </c>
      <c r="K535" s="66" t="s">
        <v>989</v>
      </c>
      <c r="L535" s="7" t="s">
        <v>1010</v>
      </c>
      <c r="M535" s="7" t="s">
        <v>1009</v>
      </c>
      <c r="R535" t="str">
        <f t="shared" si="8"/>
        <v>Abierto</v>
      </c>
      <c r="S535" t="s">
        <v>996</v>
      </c>
    </row>
    <row r="536" spans="1:20" x14ac:dyDescent="0.3">
      <c r="A536">
        <v>535</v>
      </c>
      <c r="B536" t="s">
        <v>1073</v>
      </c>
      <c r="C536" t="s">
        <v>890</v>
      </c>
      <c r="D536" s="6" t="s">
        <v>891</v>
      </c>
      <c r="E536" s="49" t="s">
        <v>889</v>
      </c>
      <c r="F536" s="132" t="s">
        <v>1042</v>
      </c>
      <c r="G536" s="44">
        <v>80</v>
      </c>
      <c r="H536" s="44">
        <v>0</v>
      </c>
      <c r="I536" s="20">
        <v>0</v>
      </c>
      <c r="J536" s="44">
        <v>0</v>
      </c>
      <c r="K536" s="66" t="s">
        <v>989</v>
      </c>
      <c r="L536" s="7" t="s">
        <v>1009</v>
      </c>
      <c r="M536" s="7" t="s">
        <v>1009</v>
      </c>
      <c r="R536" t="str">
        <f t="shared" si="8"/>
        <v>Abierto</v>
      </c>
      <c r="S536" t="s">
        <v>996</v>
      </c>
    </row>
    <row r="537" spans="1:20" x14ac:dyDescent="0.3">
      <c r="A537">
        <v>536</v>
      </c>
      <c r="B537" t="s">
        <v>1073</v>
      </c>
      <c r="C537" t="s">
        <v>892</v>
      </c>
      <c r="D537" s="6" t="s">
        <v>893</v>
      </c>
      <c r="E537" s="49" t="s">
        <v>889</v>
      </c>
      <c r="F537" s="132" t="s">
        <v>1018</v>
      </c>
      <c r="G537" s="44">
        <v>70</v>
      </c>
      <c r="H537" s="44">
        <v>0</v>
      </c>
      <c r="I537" s="20">
        <v>0</v>
      </c>
      <c r="J537" s="44">
        <v>0</v>
      </c>
      <c r="K537" s="66" t="s">
        <v>989</v>
      </c>
      <c r="L537" s="7" t="s">
        <v>1009</v>
      </c>
      <c r="M537" s="7" t="s">
        <v>1009</v>
      </c>
      <c r="R537" t="str">
        <f t="shared" si="8"/>
        <v>Abierto</v>
      </c>
      <c r="S537" t="s">
        <v>996</v>
      </c>
    </row>
    <row r="538" spans="1:20" x14ac:dyDescent="0.3">
      <c r="A538">
        <v>537</v>
      </c>
      <c r="B538" t="s">
        <v>1073</v>
      </c>
      <c r="C538" t="s">
        <v>894</v>
      </c>
      <c r="D538" s="6" t="s">
        <v>895</v>
      </c>
      <c r="E538" s="49" t="s">
        <v>889</v>
      </c>
      <c r="F538" s="132" t="s">
        <v>1049</v>
      </c>
      <c r="G538" s="44">
        <v>80</v>
      </c>
      <c r="H538" s="44">
        <v>0</v>
      </c>
      <c r="I538" s="20">
        <v>0</v>
      </c>
      <c r="J538" s="44">
        <v>0</v>
      </c>
      <c r="K538" s="66" t="s">
        <v>989</v>
      </c>
      <c r="L538" s="7" t="s">
        <v>1009</v>
      </c>
      <c r="M538" s="7" t="s">
        <v>1009</v>
      </c>
      <c r="R538" t="str">
        <f t="shared" si="8"/>
        <v>Abierto</v>
      </c>
      <c r="S538" t="s">
        <v>996</v>
      </c>
    </row>
    <row r="539" spans="1:20" x14ac:dyDescent="0.3">
      <c r="A539">
        <v>538</v>
      </c>
      <c r="B539" t="s">
        <v>1061</v>
      </c>
      <c r="C539" t="s">
        <v>896</v>
      </c>
      <c r="D539" s="6" t="s">
        <v>897</v>
      </c>
      <c r="E539" s="49" t="s">
        <v>889</v>
      </c>
      <c r="F539" s="132" t="s">
        <v>1026</v>
      </c>
      <c r="G539" s="44">
        <v>80</v>
      </c>
      <c r="H539" s="44">
        <v>0</v>
      </c>
      <c r="I539" s="20">
        <v>0</v>
      </c>
      <c r="J539" s="44">
        <v>0</v>
      </c>
      <c r="K539" s="66" t="s">
        <v>989</v>
      </c>
      <c r="L539" s="7" t="s">
        <v>1009</v>
      </c>
      <c r="M539" s="7" t="s">
        <v>1009</v>
      </c>
      <c r="R539" t="str">
        <f t="shared" si="8"/>
        <v>Abierto</v>
      </c>
      <c r="S539" t="s">
        <v>996</v>
      </c>
    </row>
    <row r="540" spans="1:20" x14ac:dyDescent="0.3">
      <c r="A540">
        <v>539</v>
      </c>
      <c r="B540" s="28" t="s">
        <v>1061</v>
      </c>
      <c r="C540" s="28" t="s">
        <v>898</v>
      </c>
      <c r="D540" s="90" t="s">
        <v>899</v>
      </c>
      <c r="E540" s="91" t="s">
        <v>889</v>
      </c>
      <c r="F540" s="133" t="s">
        <v>1016</v>
      </c>
      <c r="G540" s="92">
        <v>80</v>
      </c>
      <c r="H540" s="92">
        <v>0</v>
      </c>
      <c r="I540" s="100">
        <v>0</v>
      </c>
      <c r="J540" s="92">
        <v>0</v>
      </c>
      <c r="K540" s="66" t="s">
        <v>989</v>
      </c>
      <c r="L540" s="93" t="s">
        <v>1009</v>
      </c>
      <c r="M540" s="93" t="s">
        <v>1009</v>
      </c>
      <c r="N540" s="94"/>
      <c r="O540" s="94"/>
      <c r="P540" s="94"/>
      <c r="Q540" s="28"/>
      <c r="R540" t="str">
        <f t="shared" si="8"/>
        <v>Abierto</v>
      </c>
      <c r="S540" s="28" t="s">
        <v>997</v>
      </c>
      <c r="T540" s="28"/>
    </row>
    <row r="541" spans="1:20" x14ac:dyDescent="0.3">
      <c r="A541">
        <v>540</v>
      </c>
      <c r="B541" t="s">
        <v>1073</v>
      </c>
      <c r="C541" t="s">
        <v>900</v>
      </c>
      <c r="D541" s="6" t="s">
        <v>815</v>
      </c>
      <c r="E541" s="49" t="s">
        <v>901</v>
      </c>
      <c r="F541" s="132" t="s">
        <v>1016</v>
      </c>
      <c r="G541" s="44">
        <v>80</v>
      </c>
      <c r="H541" s="44">
        <v>0</v>
      </c>
      <c r="I541" s="20">
        <v>0</v>
      </c>
      <c r="J541" s="44">
        <v>0</v>
      </c>
      <c r="K541" s="66" t="s">
        <v>989</v>
      </c>
      <c r="L541" s="7" t="s">
        <v>1009</v>
      </c>
      <c r="M541" s="7" t="s">
        <v>1009</v>
      </c>
      <c r="R541" t="str">
        <f t="shared" si="8"/>
        <v>Abierto</v>
      </c>
      <c r="S541" t="s">
        <v>996</v>
      </c>
    </row>
    <row r="542" spans="1:20" x14ac:dyDescent="0.3">
      <c r="A542">
        <v>541</v>
      </c>
      <c r="B542" t="s">
        <v>1077</v>
      </c>
      <c r="C542" t="s">
        <v>902</v>
      </c>
      <c r="D542" s="6" t="s">
        <v>903</v>
      </c>
      <c r="E542" s="49" t="s">
        <v>901</v>
      </c>
      <c r="F542" s="132" t="s">
        <v>1016</v>
      </c>
      <c r="G542" s="44">
        <v>80</v>
      </c>
      <c r="H542" s="44">
        <v>0</v>
      </c>
      <c r="I542" s="20">
        <v>0</v>
      </c>
      <c r="J542" s="44">
        <v>0</v>
      </c>
      <c r="K542" s="66" t="s">
        <v>989</v>
      </c>
      <c r="L542" s="7" t="s">
        <v>1010</v>
      </c>
      <c r="M542" s="7" t="s">
        <v>1009</v>
      </c>
      <c r="R542" t="str">
        <f t="shared" si="8"/>
        <v>Abierto</v>
      </c>
      <c r="S542" t="s">
        <v>996</v>
      </c>
    </row>
    <row r="543" spans="1:20" x14ac:dyDescent="0.3">
      <c r="A543">
        <v>542</v>
      </c>
      <c r="B543" s="11" t="s">
        <v>1073</v>
      </c>
      <c r="C543" s="11" t="s">
        <v>904</v>
      </c>
      <c r="D543" s="83" t="s">
        <v>905</v>
      </c>
      <c r="E543" s="75" t="s">
        <v>906</v>
      </c>
      <c r="F543" s="130" t="s">
        <v>1018</v>
      </c>
      <c r="G543" s="76">
        <v>0</v>
      </c>
      <c r="H543" s="76">
        <v>0</v>
      </c>
      <c r="I543" s="89">
        <v>0</v>
      </c>
      <c r="J543" s="76">
        <v>0</v>
      </c>
      <c r="K543" s="66" t="s">
        <v>989</v>
      </c>
      <c r="L543" s="78" t="s">
        <v>1009</v>
      </c>
      <c r="M543" s="78" t="s">
        <v>1009</v>
      </c>
      <c r="N543" s="79"/>
      <c r="O543" s="79"/>
      <c r="P543" s="79"/>
      <c r="Q543" s="11"/>
      <c r="R543" t="str">
        <f t="shared" si="8"/>
        <v>Cerrado</v>
      </c>
      <c r="S543" s="11" t="s">
        <v>993</v>
      </c>
      <c r="T543" s="11"/>
    </row>
    <row r="544" spans="1:20" x14ac:dyDescent="0.3">
      <c r="A544">
        <v>543</v>
      </c>
      <c r="B544" t="s">
        <v>1074</v>
      </c>
      <c r="C544" t="s">
        <v>907</v>
      </c>
      <c r="D544" s="6" t="s">
        <v>908</v>
      </c>
      <c r="E544" s="49" t="s">
        <v>906</v>
      </c>
      <c r="F544" s="132" t="s">
        <v>526</v>
      </c>
      <c r="G544" s="44">
        <v>80</v>
      </c>
      <c r="H544" s="44">
        <v>0</v>
      </c>
      <c r="I544" s="20">
        <v>0</v>
      </c>
      <c r="J544" s="44">
        <v>0</v>
      </c>
      <c r="K544" s="66" t="s">
        <v>989</v>
      </c>
      <c r="L544" s="7" t="s">
        <v>1009</v>
      </c>
      <c r="M544" s="7" t="s">
        <v>1009</v>
      </c>
      <c r="R544" t="str">
        <f t="shared" si="8"/>
        <v>Abierto</v>
      </c>
      <c r="S544" t="s">
        <v>996</v>
      </c>
    </row>
    <row r="545" spans="1:20" x14ac:dyDescent="0.3">
      <c r="A545">
        <v>544</v>
      </c>
      <c r="B545" t="s">
        <v>1061</v>
      </c>
      <c r="C545" t="s">
        <v>909</v>
      </c>
      <c r="D545" s="6" t="s">
        <v>910</v>
      </c>
      <c r="E545" s="49" t="s">
        <v>906</v>
      </c>
      <c r="F545" s="132" t="s">
        <v>1026</v>
      </c>
      <c r="G545" s="44">
        <v>80</v>
      </c>
      <c r="H545" s="44">
        <v>0</v>
      </c>
      <c r="I545" s="20">
        <v>0</v>
      </c>
      <c r="J545" s="44">
        <v>0</v>
      </c>
      <c r="K545" s="66" t="s">
        <v>989</v>
      </c>
      <c r="L545" s="7" t="s">
        <v>1009</v>
      </c>
      <c r="M545" s="7" t="s">
        <v>1009</v>
      </c>
      <c r="R545" t="str">
        <f t="shared" si="8"/>
        <v>Abierto</v>
      </c>
      <c r="S545" t="s">
        <v>996</v>
      </c>
    </row>
    <row r="546" spans="1:20" x14ac:dyDescent="0.3">
      <c r="A546">
        <v>545</v>
      </c>
      <c r="B546" s="11" t="s">
        <v>1061</v>
      </c>
      <c r="C546" s="11" t="s">
        <v>911</v>
      </c>
      <c r="D546" s="83" t="s">
        <v>912</v>
      </c>
      <c r="E546" s="75" t="s">
        <v>906</v>
      </c>
      <c r="F546" s="130" t="s">
        <v>1026</v>
      </c>
      <c r="G546" s="76">
        <v>80</v>
      </c>
      <c r="H546" s="76">
        <v>0</v>
      </c>
      <c r="I546" s="89">
        <v>0</v>
      </c>
      <c r="J546" s="76">
        <v>0</v>
      </c>
      <c r="K546" s="66" t="s">
        <v>989</v>
      </c>
      <c r="L546" s="78" t="s">
        <v>1009</v>
      </c>
      <c r="M546" s="78" t="s">
        <v>1009</v>
      </c>
      <c r="N546" s="79"/>
      <c r="O546" s="79"/>
      <c r="P546" s="79"/>
      <c r="Q546" s="11"/>
      <c r="R546" t="str">
        <f t="shared" si="8"/>
        <v>Cerrado</v>
      </c>
      <c r="S546" s="11" t="s">
        <v>993</v>
      </c>
      <c r="T546" s="11"/>
    </row>
    <row r="547" spans="1:20" x14ac:dyDescent="0.3">
      <c r="A547">
        <v>546</v>
      </c>
      <c r="B547" t="s">
        <v>1057</v>
      </c>
      <c r="C547" t="s">
        <v>913</v>
      </c>
      <c r="D547" s="6">
        <v>1776185025</v>
      </c>
      <c r="E547" s="49" t="s">
        <v>914</v>
      </c>
      <c r="F547" s="132" t="s">
        <v>1018</v>
      </c>
      <c r="G547" s="44">
        <v>70</v>
      </c>
      <c r="H547" s="44">
        <v>0</v>
      </c>
      <c r="I547" s="20">
        <v>0</v>
      </c>
      <c r="J547" s="44">
        <v>0</v>
      </c>
      <c r="K547" s="66" t="s">
        <v>989</v>
      </c>
      <c r="L547" s="7" t="s">
        <v>1009</v>
      </c>
      <c r="M547" s="7" t="s">
        <v>1009</v>
      </c>
      <c r="R547" t="str">
        <f t="shared" si="8"/>
        <v>Abierto</v>
      </c>
      <c r="S547" t="s">
        <v>996</v>
      </c>
    </row>
    <row r="548" spans="1:20" x14ac:dyDescent="0.3">
      <c r="A548">
        <v>547</v>
      </c>
      <c r="B548" t="s">
        <v>1073</v>
      </c>
      <c r="C548" t="s">
        <v>915</v>
      </c>
      <c r="D548" s="6" t="s">
        <v>916</v>
      </c>
      <c r="E548" s="49" t="s">
        <v>917</v>
      </c>
      <c r="F548" s="132" t="s">
        <v>1018</v>
      </c>
      <c r="G548" s="44">
        <v>70</v>
      </c>
      <c r="H548" s="44">
        <v>0</v>
      </c>
      <c r="I548" s="20">
        <v>0</v>
      </c>
      <c r="J548" s="44">
        <v>0</v>
      </c>
      <c r="K548" s="66" t="s">
        <v>989</v>
      </c>
      <c r="L548" s="7" t="s">
        <v>1009</v>
      </c>
      <c r="M548" s="7" t="s">
        <v>1009</v>
      </c>
      <c r="R548" t="str">
        <f t="shared" si="8"/>
        <v>Abierto</v>
      </c>
      <c r="S548" t="s">
        <v>996</v>
      </c>
    </row>
    <row r="549" spans="1:20" x14ac:dyDescent="0.3">
      <c r="A549">
        <v>548</v>
      </c>
      <c r="B549" t="s">
        <v>1073</v>
      </c>
      <c r="C549" t="s">
        <v>918</v>
      </c>
      <c r="D549" s="6" t="s">
        <v>919</v>
      </c>
      <c r="E549" s="49" t="s">
        <v>917</v>
      </c>
      <c r="F549" s="132" t="s">
        <v>1018</v>
      </c>
      <c r="G549" s="44">
        <v>70</v>
      </c>
      <c r="H549" s="44">
        <v>0</v>
      </c>
      <c r="I549" s="20">
        <v>0</v>
      </c>
      <c r="J549" s="44">
        <v>0</v>
      </c>
      <c r="K549" s="66" t="s">
        <v>989</v>
      </c>
      <c r="L549" s="7" t="s">
        <v>1009</v>
      </c>
      <c r="M549" s="7" t="s">
        <v>1009</v>
      </c>
      <c r="R549" t="str">
        <f t="shared" si="8"/>
        <v>Abierto</v>
      </c>
      <c r="S549" t="s">
        <v>996</v>
      </c>
    </row>
    <row r="550" spans="1:20" x14ac:dyDescent="0.3">
      <c r="A550">
        <v>549</v>
      </c>
      <c r="B550" s="28" t="s">
        <v>1073</v>
      </c>
      <c r="C550" s="28" t="s">
        <v>920</v>
      </c>
      <c r="D550" s="90" t="s">
        <v>921</v>
      </c>
      <c r="E550" s="91" t="s">
        <v>917</v>
      </c>
      <c r="F550" s="133" t="s">
        <v>1018</v>
      </c>
      <c r="G550" s="92">
        <v>70</v>
      </c>
      <c r="H550" s="92">
        <v>0</v>
      </c>
      <c r="I550" s="100">
        <v>0</v>
      </c>
      <c r="J550" s="92">
        <v>0</v>
      </c>
      <c r="K550" s="66" t="s">
        <v>989</v>
      </c>
      <c r="L550" s="93" t="s">
        <v>1009</v>
      </c>
      <c r="M550" s="93" t="s">
        <v>1009</v>
      </c>
      <c r="N550" s="94"/>
      <c r="O550" s="94"/>
      <c r="P550" s="94"/>
      <c r="Q550" s="28"/>
      <c r="R550" t="str">
        <f t="shared" si="8"/>
        <v>Abierto</v>
      </c>
      <c r="S550" s="28" t="s">
        <v>997</v>
      </c>
      <c r="T550" s="28"/>
    </row>
    <row r="551" spans="1:20" x14ac:dyDescent="0.3">
      <c r="A551">
        <v>550</v>
      </c>
      <c r="B551" s="28" t="s">
        <v>1074</v>
      </c>
      <c r="C551" s="28" t="s">
        <v>922</v>
      </c>
      <c r="D551" s="90" t="s">
        <v>923</v>
      </c>
      <c r="E551" s="91" t="s">
        <v>917</v>
      </c>
      <c r="F551" s="133" t="s">
        <v>1018</v>
      </c>
      <c r="G551" s="92">
        <v>70</v>
      </c>
      <c r="H551" s="92">
        <v>0</v>
      </c>
      <c r="I551" s="100">
        <v>0</v>
      </c>
      <c r="J551" s="92">
        <v>0</v>
      </c>
      <c r="K551" s="66" t="s">
        <v>989</v>
      </c>
      <c r="L551" s="93" t="s">
        <v>1009</v>
      </c>
      <c r="M551" s="93" t="s">
        <v>1009</v>
      </c>
      <c r="N551" s="94"/>
      <c r="O551" s="94"/>
      <c r="P551" s="94"/>
      <c r="Q551" s="28"/>
      <c r="R551" t="str">
        <f t="shared" si="8"/>
        <v>Abierto</v>
      </c>
      <c r="S551" s="28" t="s">
        <v>997</v>
      </c>
      <c r="T551" s="28"/>
    </row>
    <row r="552" spans="1:20" x14ac:dyDescent="0.3">
      <c r="A552">
        <v>551</v>
      </c>
      <c r="B552" t="s">
        <v>1073</v>
      </c>
      <c r="C552" t="s">
        <v>924</v>
      </c>
      <c r="D552" s="6" t="s">
        <v>925</v>
      </c>
      <c r="E552" s="49" t="s">
        <v>926</v>
      </c>
      <c r="F552" s="132" t="s">
        <v>1018</v>
      </c>
      <c r="G552" s="44">
        <v>70</v>
      </c>
      <c r="H552" s="44">
        <v>0</v>
      </c>
      <c r="I552" s="20">
        <v>0</v>
      </c>
      <c r="J552" s="44">
        <v>0</v>
      </c>
      <c r="K552" s="66" t="s">
        <v>989</v>
      </c>
      <c r="L552" s="7" t="s">
        <v>1009</v>
      </c>
      <c r="M552" s="7" t="s">
        <v>1009</v>
      </c>
      <c r="R552" t="str">
        <f t="shared" si="8"/>
        <v>Abierto</v>
      </c>
      <c r="S552" t="s">
        <v>996</v>
      </c>
    </row>
    <row r="553" spans="1:20" x14ac:dyDescent="0.3">
      <c r="A553">
        <v>552</v>
      </c>
      <c r="B553" s="11" t="s">
        <v>1057</v>
      </c>
      <c r="C553" s="11" t="s">
        <v>927</v>
      </c>
      <c r="D553" s="9" t="s">
        <v>1011</v>
      </c>
      <c r="E553" s="75" t="s">
        <v>926</v>
      </c>
      <c r="F553" s="130" t="s">
        <v>1027</v>
      </c>
      <c r="G553" s="76">
        <v>90</v>
      </c>
      <c r="H553" s="76">
        <v>0</v>
      </c>
      <c r="I553" s="89">
        <v>0</v>
      </c>
      <c r="J553" s="76">
        <v>0</v>
      </c>
      <c r="K553" s="66" t="s">
        <v>989</v>
      </c>
      <c r="L553" s="78" t="s">
        <v>1009</v>
      </c>
      <c r="M553" s="78" t="s">
        <v>1009</v>
      </c>
      <c r="N553" s="79"/>
      <c r="O553" s="79"/>
      <c r="P553" s="79"/>
      <c r="Q553" s="11"/>
      <c r="R553" t="str">
        <f t="shared" si="8"/>
        <v>Cerrado</v>
      </c>
      <c r="S553" s="11" t="s">
        <v>993</v>
      </c>
      <c r="T553" s="11"/>
    </row>
    <row r="554" spans="1:20" x14ac:dyDescent="0.3">
      <c r="A554">
        <v>553</v>
      </c>
      <c r="B554" t="s">
        <v>1063</v>
      </c>
      <c r="C554" t="s">
        <v>928</v>
      </c>
      <c r="D554" s="120" t="s">
        <v>1011</v>
      </c>
      <c r="E554" s="49" t="s">
        <v>926</v>
      </c>
      <c r="F554" s="132" t="s">
        <v>1015</v>
      </c>
      <c r="G554" s="44">
        <v>80</v>
      </c>
      <c r="H554" s="44">
        <v>0</v>
      </c>
      <c r="I554" s="20">
        <v>0</v>
      </c>
      <c r="J554" s="44">
        <v>0</v>
      </c>
      <c r="K554" s="66" t="s">
        <v>989</v>
      </c>
      <c r="L554" s="7" t="s">
        <v>1009</v>
      </c>
      <c r="M554" s="7" t="s">
        <v>1009</v>
      </c>
      <c r="R554" t="str">
        <f t="shared" si="8"/>
        <v>Abierto</v>
      </c>
      <c r="S554" t="s">
        <v>996</v>
      </c>
    </row>
    <row r="555" spans="1:20" x14ac:dyDescent="0.3">
      <c r="A555">
        <v>554</v>
      </c>
      <c r="B555" t="s">
        <v>1073</v>
      </c>
      <c r="C555" t="s">
        <v>929</v>
      </c>
      <c r="D555" s="6" t="s">
        <v>930</v>
      </c>
      <c r="E555" s="49" t="s">
        <v>931</v>
      </c>
      <c r="F555" s="132" t="s">
        <v>1018</v>
      </c>
      <c r="G555" s="44">
        <v>70</v>
      </c>
      <c r="H555" s="44">
        <v>0</v>
      </c>
      <c r="I555" s="20">
        <v>0</v>
      </c>
      <c r="J555" s="44">
        <v>0</v>
      </c>
      <c r="K555" s="66" t="s">
        <v>989</v>
      </c>
      <c r="L555" s="7" t="s">
        <v>1009</v>
      </c>
      <c r="M555" s="7" t="s">
        <v>1009</v>
      </c>
      <c r="R555" t="str">
        <f t="shared" si="8"/>
        <v>Abierto</v>
      </c>
      <c r="S555" t="s">
        <v>996</v>
      </c>
    </row>
    <row r="556" spans="1:20" x14ac:dyDescent="0.3">
      <c r="A556">
        <v>555</v>
      </c>
      <c r="B556" t="s">
        <v>1077</v>
      </c>
      <c r="C556" t="s">
        <v>932</v>
      </c>
      <c r="D556" s="6" t="s">
        <v>933</v>
      </c>
      <c r="E556" s="49" t="s">
        <v>931</v>
      </c>
      <c r="F556" s="132" t="s">
        <v>1016</v>
      </c>
      <c r="G556" s="44">
        <v>80</v>
      </c>
      <c r="H556" s="44">
        <v>0</v>
      </c>
      <c r="I556" s="20">
        <v>0</v>
      </c>
      <c r="J556" s="44">
        <v>0</v>
      </c>
      <c r="K556" s="66" t="s">
        <v>989</v>
      </c>
      <c r="L556" s="7" t="s">
        <v>1009</v>
      </c>
      <c r="M556" s="7" t="s">
        <v>1009</v>
      </c>
      <c r="R556" t="str">
        <f t="shared" si="8"/>
        <v>Abierto</v>
      </c>
      <c r="S556" t="s">
        <v>996</v>
      </c>
    </row>
    <row r="557" spans="1:20" x14ac:dyDescent="0.3">
      <c r="A557">
        <v>556</v>
      </c>
      <c r="B557" t="s">
        <v>1073</v>
      </c>
      <c r="C557" t="s">
        <v>934</v>
      </c>
      <c r="D557" s="6" t="s">
        <v>935</v>
      </c>
      <c r="E557" s="49" t="s">
        <v>931</v>
      </c>
      <c r="F557" s="132" t="s">
        <v>1049</v>
      </c>
      <c r="G557" s="44">
        <v>80</v>
      </c>
      <c r="H557" s="44">
        <v>0</v>
      </c>
      <c r="I557" s="20">
        <v>0</v>
      </c>
      <c r="J557" s="44">
        <v>0</v>
      </c>
      <c r="K557" s="66" t="s">
        <v>989</v>
      </c>
      <c r="L557" s="7" t="s">
        <v>1009</v>
      </c>
      <c r="M557" s="7" t="s">
        <v>1009</v>
      </c>
      <c r="R557" t="str">
        <f t="shared" si="8"/>
        <v>Abierto</v>
      </c>
      <c r="S557" t="s">
        <v>996</v>
      </c>
    </row>
    <row r="558" spans="1:20" x14ac:dyDescent="0.3">
      <c r="A558">
        <v>557</v>
      </c>
      <c r="B558" t="s">
        <v>1061</v>
      </c>
      <c r="C558" t="s">
        <v>936</v>
      </c>
      <c r="D558" s="6" t="s">
        <v>937</v>
      </c>
      <c r="E558" s="49" t="s">
        <v>931</v>
      </c>
      <c r="F558" s="132" t="s">
        <v>1018</v>
      </c>
      <c r="G558" s="44">
        <v>70</v>
      </c>
      <c r="H558" s="44">
        <v>0</v>
      </c>
      <c r="I558" s="20">
        <v>0</v>
      </c>
      <c r="J558" s="44">
        <v>0</v>
      </c>
      <c r="K558" s="66" t="s">
        <v>989</v>
      </c>
      <c r="L558" s="7" t="s">
        <v>1009</v>
      </c>
      <c r="M558" s="7" t="s">
        <v>1009</v>
      </c>
      <c r="R558" t="str">
        <f t="shared" si="8"/>
        <v>Abierto</v>
      </c>
      <c r="S558" t="s">
        <v>996</v>
      </c>
    </row>
    <row r="559" spans="1:20" x14ac:dyDescent="0.3">
      <c r="A559">
        <v>558</v>
      </c>
      <c r="B559" t="s">
        <v>1073</v>
      </c>
      <c r="C559" t="s">
        <v>938</v>
      </c>
      <c r="D559" s="6" t="s">
        <v>939</v>
      </c>
      <c r="E559" s="49" t="s">
        <v>931</v>
      </c>
      <c r="F559" s="132" t="s">
        <v>1018</v>
      </c>
      <c r="G559" s="44">
        <v>70</v>
      </c>
      <c r="H559" s="44">
        <v>25</v>
      </c>
      <c r="I559" s="20">
        <v>0</v>
      </c>
      <c r="J559" s="44">
        <v>25</v>
      </c>
      <c r="K559" s="66" t="s">
        <v>989</v>
      </c>
      <c r="L559" s="7" t="s">
        <v>1009</v>
      </c>
      <c r="M559" s="7" t="s">
        <v>1009</v>
      </c>
      <c r="R559" t="str">
        <f t="shared" si="8"/>
        <v>Abierto</v>
      </c>
      <c r="S559" t="s">
        <v>996</v>
      </c>
    </row>
    <row r="560" spans="1:20" x14ac:dyDescent="0.3">
      <c r="A560">
        <v>559</v>
      </c>
      <c r="B560" s="11" t="s">
        <v>1057</v>
      </c>
      <c r="C560" s="11" t="s">
        <v>940</v>
      </c>
      <c r="D560" s="9" t="s">
        <v>1011</v>
      </c>
      <c r="E560" s="75" t="s">
        <v>931</v>
      </c>
      <c r="F560" s="130" t="s">
        <v>1027</v>
      </c>
      <c r="G560" s="76">
        <v>90</v>
      </c>
      <c r="H560" s="76">
        <v>0</v>
      </c>
      <c r="I560" s="89">
        <v>0</v>
      </c>
      <c r="J560" s="76">
        <v>0</v>
      </c>
      <c r="K560" s="66" t="s">
        <v>989</v>
      </c>
      <c r="L560" s="78" t="s">
        <v>1009</v>
      </c>
      <c r="M560" s="78" t="s">
        <v>1009</v>
      </c>
      <c r="N560" s="79"/>
      <c r="O560" s="79"/>
      <c r="P560" s="79"/>
      <c r="Q560" s="11"/>
      <c r="R560" t="str">
        <f t="shared" si="8"/>
        <v>Cerrado</v>
      </c>
      <c r="S560" s="11" t="s">
        <v>993</v>
      </c>
      <c r="T560" s="11"/>
    </row>
    <row r="561" spans="1:20" x14ac:dyDescent="0.3">
      <c r="A561">
        <v>560</v>
      </c>
      <c r="B561" t="s">
        <v>1073</v>
      </c>
      <c r="C561" t="s">
        <v>941</v>
      </c>
      <c r="D561" s="6" t="s">
        <v>942</v>
      </c>
      <c r="E561" s="49" t="s">
        <v>943</v>
      </c>
      <c r="F561" s="132" t="s">
        <v>1018</v>
      </c>
      <c r="G561" s="44">
        <v>70</v>
      </c>
      <c r="H561" s="44">
        <v>0</v>
      </c>
      <c r="I561" s="20">
        <v>0</v>
      </c>
      <c r="J561" s="44">
        <v>0</v>
      </c>
      <c r="K561" s="66" t="s">
        <v>989</v>
      </c>
      <c r="L561" s="7" t="s">
        <v>1009</v>
      </c>
      <c r="M561" s="7" t="s">
        <v>1009</v>
      </c>
      <c r="R561" t="str">
        <f t="shared" si="8"/>
        <v>Abierto</v>
      </c>
      <c r="S561" t="s">
        <v>996</v>
      </c>
    </row>
    <row r="562" spans="1:20" x14ac:dyDescent="0.3">
      <c r="A562">
        <v>561</v>
      </c>
      <c r="B562" t="s">
        <v>1074</v>
      </c>
      <c r="C562" t="s">
        <v>944</v>
      </c>
      <c r="D562" s="6" t="s">
        <v>945</v>
      </c>
      <c r="E562" s="49" t="s">
        <v>943</v>
      </c>
      <c r="F562" s="132" t="s">
        <v>1016</v>
      </c>
      <c r="G562" s="44">
        <v>80</v>
      </c>
      <c r="H562" s="44">
        <v>0</v>
      </c>
      <c r="I562" s="20">
        <v>0</v>
      </c>
      <c r="J562" s="44">
        <v>0</v>
      </c>
      <c r="K562" s="66" t="s">
        <v>989</v>
      </c>
      <c r="L562" s="7" t="s">
        <v>1009</v>
      </c>
      <c r="M562" s="7" t="s">
        <v>1009</v>
      </c>
      <c r="R562" t="str">
        <f t="shared" si="8"/>
        <v>Abierto</v>
      </c>
      <c r="S562" t="s">
        <v>996</v>
      </c>
    </row>
    <row r="563" spans="1:20" x14ac:dyDescent="0.3">
      <c r="A563">
        <v>562</v>
      </c>
      <c r="B563" s="28" t="s">
        <v>1061</v>
      </c>
      <c r="C563" s="28" t="s">
        <v>946</v>
      </c>
      <c r="D563" s="90" t="s">
        <v>947</v>
      </c>
      <c r="E563" s="91" t="s">
        <v>943</v>
      </c>
      <c r="F563" s="133" t="s">
        <v>1045</v>
      </c>
      <c r="G563" s="92">
        <v>80</v>
      </c>
      <c r="H563" s="92">
        <v>0</v>
      </c>
      <c r="I563" s="100">
        <v>0</v>
      </c>
      <c r="J563" s="92">
        <v>0</v>
      </c>
      <c r="K563" s="66" t="s">
        <v>989</v>
      </c>
      <c r="L563" s="93" t="s">
        <v>1009</v>
      </c>
      <c r="M563" s="93" t="s">
        <v>1009</v>
      </c>
      <c r="N563" s="94"/>
      <c r="O563" s="94"/>
      <c r="P563" s="94"/>
      <c r="Q563" s="28"/>
      <c r="R563" t="str">
        <f t="shared" si="8"/>
        <v>Abierto</v>
      </c>
      <c r="S563" s="28" t="s">
        <v>997</v>
      </c>
      <c r="T563" s="28"/>
    </row>
    <row r="564" spans="1:20" x14ac:dyDescent="0.3">
      <c r="A564">
        <v>563</v>
      </c>
      <c r="B564" t="s">
        <v>1073</v>
      </c>
      <c r="C564" t="s">
        <v>948</v>
      </c>
      <c r="D564" s="6" t="s">
        <v>949</v>
      </c>
      <c r="E564" s="49" t="s">
        <v>950</v>
      </c>
      <c r="F564" s="132" t="s">
        <v>1018</v>
      </c>
      <c r="G564" s="44">
        <v>70</v>
      </c>
      <c r="H564" s="44">
        <v>0</v>
      </c>
      <c r="I564" s="20">
        <v>0</v>
      </c>
      <c r="J564" s="44">
        <v>0</v>
      </c>
      <c r="K564" s="66" t="s">
        <v>989</v>
      </c>
      <c r="L564" s="7" t="s">
        <v>1009</v>
      </c>
      <c r="M564" s="7" t="s">
        <v>1009</v>
      </c>
      <c r="R564" t="str">
        <f t="shared" si="8"/>
        <v>Abierto</v>
      </c>
      <c r="S564" t="s">
        <v>996</v>
      </c>
    </row>
    <row r="565" spans="1:20" x14ac:dyDescent="0.3">
      <c r="A565">
        <v>564</v>
      </c>
      <c r="B565" t="s">
        <v>1073</v>
      </c>
      <c r="C565" t="s">
        <v>951</v>
      </c>
      <c r="D565" s="6" t="s">
        <v>952</v>
      </c>
      <c r="E565" s="49" t="s">
        <v>950</v>
      </c>
      <c r="F565" s="132" t="s">
        <v>1018</v>
      </c>
      <c r="G565" s="44">
        <v>70</v>
      </c>
      <c r="H565" s="44">
        <v>0</v>
      </c>
      <c r="I565" s="20">
        <v>0</v>
      </c>
      <c r="J565" s="44">
        <v>0</v>
      </c>
      <c r="K565" s="66" t="s">
        <v>989</v>
      </c>
      <c r="L565" s="7" t="s">
        <v>1009</v>
      </c>
      <c r="M565" s="7" t="s">
        <v>1009</v>
      </c>
      <c r="R565" t="str">
        <f t="shared" si="8"/>
        <v>Abierto</v>
      </c>
      <c r="S565" t="s">
        <v>996</v>
      </c>
    </row>
    <row r="566" spans="1:20" x14ac:dyDescent="0.3">
      <c r="A566">
        <v>565</v>
      </c>
      <c r="B566" s="28" t="s">
        <v>1060</v>
      </c>
      <c r="C566" s="28" t="s">
        <v>953</v>
      </c>
      <c r="D566" s="90" t="s">
        <v>954</v>
      </c>
      <c r="E566" s="91" t="s">
        <v>950</v>
      </c>
      <c r="F566" s="133" t="s">
        <v>1018</v>
      </c>
      <c r="G566" s="92">
        <v>70</v>
      </c>
      <c r="H566" s="92">
        <v>0</v>
      </c>
      <c r="I566" s="100">
        <v>0</v>
      </c>
      <c r="J566" s="92">
        <v>0</v>
      </c>
      <c r="K566" s="66" t="s">
        <v>989</v>
      </c>
      <c r="L566" s="93" t="s">
        <v>1009</v>
      </c>
      <c r="M566" s="93" t="s">
        <v>1009</v>
      </c>
      <c r="N566" s="94"/>
      <c r="O566" s="94"/>
      <c r="P566" s="94"/>
      <c r="Q566" s="28"/>
      <c r="R566" t="str">
        <f t="shared" si="8"/>
        <v>Abierto</v>
      </c>
      <c r="S566" s="28" t="s">
        <v>997</v>
      </c>
      <c r="T566" s="28"/>
    </row>
    <row r="567" spans="1:20" x14ac:dyDescent="0.3">
      <c r="A567">
        <v>566</v>
      </c>
      <c r="B567" t="s">
        <v>1073</v>
      </c>
      <c r="C567" t="s">
        <v>955</v>
      </c>
      <c r="D567" s="6" t="s">
        <v>956</v>
      </c>
      <c r="E567" s="49" t="s">
        <v>957</v>
      </c>
      <c r="F567" s="132" t="s">
        <v>1016</v>
      </c>
      <c r="G567" s="44">
        <v>80</v>
      </c>
      <c r="H567" s="44">
        <v>0</v>
      </c>
      <c r="I567" s="20">
        <v>0</v>
      </c>
      <c r="J567" s="44">
        <v>0</v>
      </c>
      <c r="K567" s="66" t="s">
        <v>989</v>
      </c>
      <c r="L567" s="7" t="s">
        <v>1009</v>
      </c>
      <c r="M567" s="7" t="s">
        <v>1009</v>
      </c>
      <c r="R567" t="str">
        <f t="shared" si="8"/>
        <v>Abierto</v>
      </c>
      <c r="S567" t="s">
        <v>996</v>
      </c>
    </row>
    <row r="568" spans="1:20" x14ac:dyDescent="0.3">
      <c r="A568">
        <v>567</v>
      </c>
      <c r="B568" t="s">
        <v>1073</v>
      </c>
      <c r="C568" t="s">
        <v>958</v>
      </c>
      <c r="D568" s="6" t="s">
        <v>959</v>
      </c>
      <c r="E568" s="49" t="s">
        <v>957</v>
      </c>
      <c r="F568" s="132" t="s">
        <v>1042</v>
      </c>
      <c r="G568" s="44">
        <v>80</v>
      </c>
      <c r="H568" s="44">
        <v>0</v>
      </c>
      <c r="I568" s="20">
        <v>0</v>
      </c>
      <c r="J568" s="44">
        <v>0</v>
      </c>
      <c r="K568" s="66" t="s">
        <v>989</v>
      </c>
      <c r="L568" s="7" t="s">
        <v>1009</v>
      </c>
      <c r="M568" s="7" t="s">
        <v>1009</v>
      </c>
      <c r="R568" t="str">
        <f t="shared" si="8"/>
        <v>Abierto</v>
      </c>
      <c r="S568" t="s">
        <v>996</v>
      </c>
    </row>
    <row r="569" spans="1:20" x14ac:dyDescent="0.3">
      <c r="A569">
        <v>568</v>
      </c>
      <c r="B569" t="s">
        <v>1073</v>
      </c>
      <c r="C569" t="s">
        <v>960</v>
      </c>
      <c r="D569" s="6" t="s">
        <v>961</v>
      </c>
      <c r="E569" s="49" t="s">
        <v>957</v>
      </c>
      <c r="F569" s="132" t="s">
        <v>1018</v>
      </c>
      <c r="G569" s="44">
        <v>70</v>
      </c>
      <c r="H569" s="44">
        <v>0</v>
      </c>
      <c r="I569" s="20">
        <v>0</v>
      </c>
      <c r="J569" s="44">
        <v>0</v>
      </c>
      <c r="K569" s="66" t="s">
        <v>989</v>
      </c>
      <c r="L569" s="7" t="s">
        <v>1009</v>
      </c>
      <c r="M569" s="7" t="s">
        <v>1009</v>
      </c>
      <c r="R569" t="str">
        <f t="shared" si="8"/>
        <v>Abierto</v>
      </c>
      <c r="S569" t="s">
        <v>996</v>
      </c>
    </row>
    <row r="570" spans="1:20" x14ac:dyDescent="0.3">
      <c r="A570">
        <v>569</v>
      </c>
      <c r="B570" t="s">
        <v>1073</v>
      </c>
      <c r="C570" t="s">
        <v>962</v>
      </c>
      <c r="D570" s="6" t="s">
        <v>963</v>
      </c>
      <c r="E570" s="49" t="s">
        <v>957</v>
      </c>
      <c r="F570" s="132" t="s">
        <v>1049</v>
      </c>
      <c r="G570" s="44">
        <v>80</v>
      </c>
      <c r="H570" s="44">
        <v>0</v>
      </c>
      <c r="I570" s="20">
        <v>0</v>
      </c>
      <c r="J570" s="44">
        <v>0</v>
      </c>
      <c r="K570" s="66" t="s">
        <v>989</v>
      </c>
      <c r="L570" s="7" t="s">
        <v>1009</v>
      </c>
      <c r="M570" s="7" t="s">
        <v>1009</v>
      </c>
      <c r="R570" t="str">
        <f t="shared" si="8"/>
        <v>Abierto</v>
      </c>
      <c r="S570" t="s">
        <v>996</v>
      </c>
    </row>
    <row r="571" spans="1:20" x14ac:dyDescent="0.3">
      <c r="A571">
        <v>570</v>
      </c>
      <c r="B571" t="s">
        <v>1073</v>
      </c>
      <c r="C571" t="s">
        <v>964</v>
      </c>
      <c r="D571" s="6" t="s">
        <v>965</v>
      </c>
      <c r="E571" s="49" t="s">
        <v>966</v>
      </c>
      <c r="F571" s="132" t="s">
        <v>1018</v>
      </c>
      <c r="G571" s="44">
        <v>70</v>
      </c>
      <c r="H571" s="44">
        <v>0</v>
      </c>
      <c r="I571" s="20">
        <v>0</v>
      </c>
      <c r="J571" s="44">
        <v>0</v>
      </c>
      <c r="K571" s="66" t="s">
        <v>989</v>
      </c>
      <c r="L571" s="7" t="s">
        <v>1009</v>
      </c>
      <c r="M571" s="7" t="s">
        <v>1009</v>
      </c>
      <c r="R571" t="str">
        <f t="shared" si="8"/>
        <v>Abierto</v>
      </c>
      <c r="S571" t="s">
        <v>996</v>
      </c>
    </row>
  </sheetData>
  <phoneticPr fontId="8" type="noConversion"/>
  <conditionalFormatting sqref="A2:T571">
    <cfRule type="expression" dxfId="4" priority="1">
      <formula>$S2="Para Refacturar"</formula>
    </cfRule>
    <cfRule type="expression" dxfId="3" priority="2">
      <formula>$S2="Refacturado"</formula>
    </cfRule>
    <cfRule type="expression" dxfId="2" priority="3">
      <formula>$S2="No Fee"</formula>
    </cfRule>
    <cfRule type="expression" dxfId="1" priority="4">
      <formula>$S2="On Going"</formula>
    </cfRule>
    <cfRule type="expression" dxfId="0" priority="5">
      <formula>$S2="Cobrado"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21AD-C45C-4B87-A388-C392E4AB5CD1}">
  <dimension ref="B2:D18"/>
  <sheetViews>
    <sheetView workbookViewId="0">
      <selection activeCell="E5" sqref="E5"/>
    </sheetView>
  </sheetViews>
  <sheetFormatPr baseColWidth="10" defaultColWidth="8.88671875" defaultRowHeight="14.4" x14ac:dyDescent="0.3"/>
  <cols>
    <col min="2" max="2" width="20.109375" bestFit="1" customWidth="1"/>
    <col min="3" max="3" width="8.5546875" bestFit="1" customWidth="1"/>
    <col min="4" max="4" width="7.6640625" bestFit="1" customWidth="1"/>
  </cols>
  <sheetData>
    <row r="2" spans="2:4" x14ac:dyDescent="0.3">
      <c r="B2" s="31" t="s">
        <v>0</v>
      </c>
      <c r="C2" s="32" t="s">
        <v>967</v>
      </c>
      <c r="D2" s="32" t="s">
        <v>968</v>
      </c>
    </row>
    <row r="3" spans="2:4" x14ac:dyDescent="0.3">
      <c r="B3" s="33" t="s">
        <v>14</v>
      </c>
      <c r="C3" s="34">
        <v>70</v>
      </c>
      <c r="D3" s="34">
        <v>80</v>
      </c>
    </row>
    <row r="4" spans="2:4" x14ac:dyDescent="0.3">
      <c r="B4" s="33" t="s">
        <v>20</v>
      </c>
      <c r="C4" s="34">
        <v>70</v>
      </c>
      <c r="D4" s="34">
        <v>80</v>
      </c>
    </row>
    <row r="5" spans="2:4" x14ac:dyDescent="0.3">
      <c r="B5" s="33" t="s">
        <v>1</v>
      </c>
      <c r="C5" s="34">
        <v>90</v>
      </c>
      <c r="D5" s="34">
        <v>90</v>
      </c>
    </row>
    <row r="6" spans="2:4" x14ac:dyDescent="0.3">
      <c r="B6" s="33" t="s">
        <v>63</v>
      </c>
      <c r="C6" s="34">
        <v>70</v>
      </c>
      <c r="D6" s="34">
        <v>80</v>
      </c>
    </row>
    <row r="7" spans="2:4" x14ac:dyDescent="0.3">
      <c r="B7" s="33" t="s">
        <v>969</v>
      </c>
      <c r="C7" s="34">
        <v>70</v>
      </c>
      <c r="D7" s="34">
        <v>80</v>
      </c>
    </row>
    <row r="8" spans="2:4" x14ac:dyDescent="0.3">
      <c r="B8" s="33" t="s">
        <v>970</v>
      </c>
      <c r="C8" s="34">
        <v>70</v>
      </c>
      <c r="D8" s="34">
        <v>80</v>
      </c>
    </row>
    <row r="9" spans="2:4" x14ac:dyDescent="0.3">
      <c r="B9" s="33" t="s">
        <v>971</v>
      </c>
      <c r="C9" s="34">
        <v>70</v>
      </c>
      <c r="D9" s="34">
        <v>80</v>
      </c>
    </row>
    <row r="10" spans="2:4" x14ac:dyDescent="0.3">
      <c r="B10" s="33" t="s">
        <v>972</v>
      </c>
      <c r="C10" s="34">
        <v>70</v>
      </c>
      <c r="D10" s="34">
        <v>80</v>
      </c>
    </row>
    <row r="11" spans="2:4" x14ac:dyDescent="0.3">
      <c r="B11" s="33" t="s">
        <v>34</v>
      </c>
      <c r="C11" s="34">
        <v>70</v>
      </c>
      <c r="D11" s="34">
        <v>80</v>
      </c>
    </row>
    <row r="12" spans="2:4" x14ac:dyDescent="0.3">
      <c r="B12" s="33" t="s">
        <v>7</v>
      </c>
      <c r="C12" s="34">
        <v>70</v>
      </c>
      <c r="D12" s="34">
        <v>80</v>
      </c>
    </row>
    <row r="13" spans="2:4" x14ac:dyDescent="0.3">
      <c r="B13" s="33" t="s">
        <v>39</v>
      </c>
      <c r="C13" s="34">
        <v>70</v>
      </c>
      <c r="D13" s="34">
        <v>80</v>
      </c>
    </row>
    <row r="14" spans="2:4" x14ac:dyDescent="0.3">
      <c r="B14" s="33" t="s">
        <v>973</v>
      </c>
      <c r="C14" s="34">
        <v>70</v>
      </c>
      <c r="D14" s="34">
        <v>80</v>
      </c>
    </row>
    <row r="15" spans="2:4" x14ac:dyDescent="0.3">
      <c r="B15" s="33" t="s">
        <v>974</v>
      </c>
      <c r="C15" s="34">
        <v>70</v>
      </c>
      <c r="D15" s="34">
        <v>80</v>
      </c>
    </row>
    <row r="16" spans="2:4" x14ac:dyDescent="0.3">
      <c r="B16" s="33" t="s">
        <v>115</v>
      </c>
      <c r="C16" s="34">
        <v>70</v>
      </c>
      <c r="D16" s="34">
        <v>80</v>
      </c>
    </row>
    <row r="17" spans="2:4" x14ac:dyDescent="0.3">
      <c r="B17" s="33" t="s">
        <v>92</v>
      </c>
      <c r="C17" s="34">
        <v>70</v>
      </c>
      <c r="D17" s="34">
        <v>80</v>
      </c>
    </row>
    <row r="18" spans="2:4" x14ac:dyDescent="0.3">
      <c r="B18" s="35" t="s">
        <v>975</v>
      </c>
      <c r="C18" s="36">
        <v>70</v>
      </c>
      <c r="D18" s="3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Fees</vt:lpstr>
      <vt:lpstr>casos</vt:lpstr>
      <vt:lpstr>Hoja1!correnpondent_id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in the sky ...</dc:creator>
  <cp:keywords/>
  <dc:description/>
  <cp:lastModifiedBy>Sue in the sky ...</cp:lastModifiedBy>
  <cp:revision/>
  <dcterms:created xsi:type="dcterms:W3CDTF">2025-01-07T16:57:44Z</dcterms:created>
  <dcterms:modified xsi:type="dcterms:W3CDTF">2026-03-11T22:29:05Z</dcterms:modified>
  <cp:category/>
  <cp:contentStatus/>
</cp:coreProperties>
</file>